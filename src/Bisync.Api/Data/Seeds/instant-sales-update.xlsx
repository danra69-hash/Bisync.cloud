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danra\Downloads\"/>
    </mc:Choice>
  </mc:AlternateContent>
  <xr:revisionPtr revIDLastSave="0" documentId="13_ncr:1_{7F5830E9-1BA6-4337-B427-81CC3801354E}" xr6:coauthVersionLast="47" xr6:coauthVersionMax="47" xr10:uidLastSave="{00000000-0000-0000-0000-000000000000}"/>
  <bookViews>
    <workbookView xWindow="36765" yWindow="-15765" windowWidth="30030" windowHeight="9990" firstSheet="1" activeTab="1" xr2:uid="{5A829764-62B9-45FB-BAD1-2293681F139C}"/>
  </bookViews>
  <sheets>
    <sheet name="Client DB" sheetId="1" r:id="rId1"/>
    <sheet name="Weekly Update" sheetId="5" r:id="rId2"/>
    <sheet name="SYS LST" sheetId="3" r:id="rId3"/>
    <sheet name="SUMMARY" sheetId="6" r:id="rId4"/>
  </sheets>
  <definedNames>
    <definedName name="_xlnm._FilterDatabase" localSheetId="1" hidden="1">'Weekly Update'!$A$1:$W$177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6" l="1"/>
  <c r="H20" i="6" s="1"/>
  <c r="K14" i="6"/>
  <c r="K13" i="6"/>
  <c r="K12" i="6"/>
  <c r="K9" i="6"/>
  <c r="K8" i="6"/>
  <c r="K7" i="6"/>
  <c r="F19" i="6"/>
  <c r="E19" i="6"/>
  <c r="H18" i="6"/>
  <c r="G18" i="6"/>
  <c r="H17" i="6"/>
  <c r="G17" i="6"/>
  <c r="F17" i="6"/>
  <c r="E17" i="6"/>
  <c r="F16" i="6"/>
  <c r="E16" i="6"/>
  <c r="H15" i="6"/>
  <c r="G15" i="6"/>
  <c r="F15" i="6"/>
  <c r="E15" i="6"/>
  <c r="H14" i="6"/>
  <c r="G14" i="6"/>
  <c r="F14" i="6"/>
  <c r="E14" i="6"/>
  <c r="F13" i="6"/>
  <c r="E13" i="6"/>
  <c r="H12" i="6"/>
  <c r="G12" i="6"/>
  <c r="F12" i="6"/>
  <c r="E12" i="6"/>
  <c r="H11" i="6"/>
  <c r="G11" i="6"/>
  <c r="F11" i="6"/>
  <c r="E11" i="6"/>
  <c r="F10" i="6"/>
  <c r="E10" i="6"/>
  <c r="H9" i="6"/>
  <c r="G9" i="6"/>
  <c r="F9" i="6"/>
  <c r="E9" i="6"/>
  <c r="H8" i="6"/>
  <c r="G8" i="6"/>
  <c r="F8" i="6"/>
  <c r="E8" i="6"/>
  <c r="F7" i="6"/>
  <c r="E7" i="6"/>
  <c r="H6" i="6"/>
  <c r="G6" i="6"/>
  <c r="F6" i="6"/>
  <c r="E6" i="6"/>
  <c r="D20" i="6"/>
  <c r="D19" i="6"/>
  <c r="D18" i="6"/>
  <c r="D17" i="6"/>
  <c r="D13" i="6"/>
  <c r="D12" i="6"/>
  <c r="D11" i="6"/>
  <c r="D10" i="6"/>
  <c r="D9" i="6"/>
  <c r="D8" i="6"/>
  <c r="D7" i="6"/>
  <c r="D6" i="6"/>
  <c r="C20" i="6"/>
  <c r="C19" i="6"/>
  <c r="C16" i="6"/>
  <c r="C15" i="6"/>
  <c r="C14" i="6"/>
  <c r="C13" i="6"/>
  <c r="C12" i="6"/>
  <c r="C10" i="6"/>
  <c r="C9" i="6"/>
  <c r="C8" i="6"/>
  <c r="C7" i="6"/>
  <c r="C6" i="6"/>
  <c r="A6" i="6"/>
  <c r="A7" i="6"/>
  <c r="A8" i="6"/>
  <c r="A9" i="6"/>
  <c r="A10" i="6"/>
  <c r="A11" i="6"/>
  <c r="A12" i="6"/>
  <c r="B12" i="6" s="1"/>
  <c r="A13" i="6"/>
  <c r="A14" i="6"/>
  <c r="A15" i="6"/>
  <c r="D15" i="6" s="1"/>
  <c r="A16" i="6"/>
  <c r="A17" i="6"/>
  <c r="A18" i="6"/>
  <c r="A19" i="6"/>
  <c r="A20" i="6"/>
  <c r="E18" i="6" l="1"/>
  <c r="F18" i="6"/>
  <c r="K10" i="6"/>
  <c r="B13" i="6"/>
  <c r="C17" i="6"/>
  <c r="D14" i="6"/>
  <c r="G7" i="6"/>
  <c r="G10" i="6"/>
  <c r="G13" i="6"/>
  <c r="G16" i="6"/>
  <c r="F20" i="6"/>
  <c r="C11" i="6"/>
  <c r="C18" i="6"/>
  <c r="D16" i="6"/>
  <c r="H7" i="6"/>
  <c r="H10" i="6"/>
  <c r="H13" i="6"/>
  <c r="H16" i="6"/>
  <c r="K6" i="6"/>
  <c r="K11" i="6"/>
  <c r="G19" i="6"/>
  <c r="H19" i="6"/>
  <c r="E20" i="6"/>
  <c r="K15" i="6"/>
  <c r="G20" i="6"/>
  <c r="B15" i="6"/>
  <c r="B10" i="6"/>
  <c r="B11" i="6"/>
  <c r="B16" i="6"/>
  <c r="B18" i="6"/>
  <c r="B17" i="6"/>
  <c r="B7" i="6"/>
  <c r="B19" i="6"/>
  <c r="B14" i="6"/>
  <c r="B8" i="6"/>
  <c r="B20" i="6"/>
  <c r="B9" i="6"/>
  <c r="B6" i="6"/>
</calcChain>
</file>

<file path=xl/sharedStrings.xml><?xml version="1.0" encoding="utf-8"?>
<sst xmlns="http://schemas.openxmlformats.org/spreadsheetml/2006/main" count="3035" uniqueCount="1493">
  <si>
    <t>BRAND</t>
  </si>
  <si>
    <t>No of Locations</t>
  </si>
  <si>
    <t>COMPANY</t>
  </si>
  <si>
    <t>CONTACT PERSON</t>
  </si>
  <si>
    <t>EMAIL</t>
  </si>
  <si>
    <t>DESIGNATION</t>
  </si>
  <si>
    <t>MOBILE</t>
  </si>
  <si>
    <t>ADDRESS</t>
  </si>
  <si>
    <t>STATE</t>
  </si>
  <si>
    <t>COUNTRY</t>
  </si>
  <si>
    <t>POST CODE</t>
  </si>
  <si>
    <t>CREATED ON</t>
  </si>
  <si>
    <t>SALES</t>
  </si>
  <si>
    <t xml:space="preserve"> The Brew House &amp; Bake &amp; Brew Cafe </t>
  </si>
  <si>
    <t xml:space="preserve"> Movida Group </t>
  </si>
  <si>
    <t xml:space="preserve"> MANFRED </t>
  </si>
  <si>
    <t xml:space="preserve"> PappaRich </t>
  </si>
  <si>
    <t xml:space="preserve"> PappaRich Malaysia Sdn Bhd </t>
  </si>
  <si>
    <t xml:space="preserve"> Bhai Jim Jum </t>
  </si>
  <si>
    <t xml:space="preserve"> Jim Jum Thai Hotpot Restaurant </t>
  </si>
  <si>
    <t xml:space="preserve"> CoolBlog </t>
  </si>
  <si>
    <t xml:space="preserve"> Coolblog Enterprise Sdn Bhd </t>
  </si>
  <si>
    <t xml:space="preserve"> Kluang Station </t>
  </si>
  <si>
    <t xml:space="preserve"> Kluang Station F&amp;B Sdn Bhd </t>
  </si>
  <si>
    <t xml:space="preserve"> He &amp; She Coffee </t>
  </si>
  <si>
    <t xml:space="preserve"> He &amp; She Coffee Sdn Bhd </t>
  </si>
  <si>
    <t xml:space="preserve"> Kopi Saigon </t>
  </si>
  <si>
    <t xml:space="preserve"> Seruni Global Sdn Bhd. </t>
  </si>
  <si>
    <t xml:space="preserve"> NOTA Cafe </t>
  </si>
  <si>
    <t xml:space="preserve"> Nota Concepts Setia Alam Sdn Bhd </t>
  </si>
  <si>
    <t xml:space="preserve"> Lotteria </t>
  </si>
  <si>
    <t xml:space="preserve"> Serai Group </t>
  </si>
  <si>
    <t>MANFRED</t>
  </si>
  <si>
    <t>Serai</t>
  </si>
  <si>
    <t>Serai Thai</t>
  </si>
  <si>
    <t>Jibby &amp; Co</t>
  </si>
  <si>
    <t>Jibby Chow</t>
  </si>
  <si>
    <t>Jibby East Grill</t>
  </si>
  <si>
    <t>Super Blode</t>
  </si>
  <si>
    <t>Jibby by Park</t>
  </si>
  <si>
    <t>Chum Chum Pizzeria</t>
  </si>
  <si>
    <t>Iola</t>
  </si>
  <si>
    <t>Serai Café</t>
  </si>
  <si>
    <t>Meet Bros</t>
  </si>
  <si>
    <t>Makamakan</t>
  </si>
  <si>
    <t>Meriah</t>
  </si>
  <si>
    <t>Taffy Gelato</t>
  </si>
  <si>
    <t>Serai Chicken Rice</t>
  </si>
  <si>
    <t xml:space="preserve"> Nyonya Colors, Bad Scones </t>
  </si>
  <si>
    <t xml:space="preserve"> Little Cravings Sdn Bhd </t>
  </si>
  <si>
    <t xml:space="preserve"> Eco Disposable Sdn Bhd </t>
  </si>
  <si>
    <t xml:space="preserve"> Humblefood </t>
  </si>
  <si>
    <t xml:space="preserve"> Humble Food Holdings Sdn. Bhd </t>
  </si>
  <si>
    <t xml:space="preserve"> Red Kettle </t>
  </si>
  <si>
    <t xml:space="preserve"> El Ocho </t>
  </si>
  <si>
    <t xml:space="preserve"> Coast &amp; Roast by Fish &amp;Co. </t>
  </si>
  <si>
    <t xml:space="preserve"> Third Serving </t>
  </si>
  <si>
    <t xml:space="preserve"> Siti Li </t>
  </si>
  <si>
    <t xml:space="preserve"> Ohcha Matcha </t>
  </si>
  <si>
    <t xml:space="preserve"> Mokkys Pizza </t>
  </si>
  <si>
    <t xml:space="preserve"> EM's  </t>
  </si>
  <si>
    <t xml:space="preserve"> Boost Juice </t>
  </si>
  <si>
    <t>Ayam Gepuk</t>
  </si>
  <si>
    <t>Top Global Food And Beverages Sdn Bhd</t>
  </si>
  <si>
    <t>SYAZWAN</t>
  </si>
  <si>
    <t>Bebeks by Top Global</t>
  </si>
  <si>
    <t xml:space="preserve"> Nak Nak </t>
  </si>
  <si>
    <t xml:space="preserve"> K Fry </t>
  </si>
  <si>
    <t xml:space="preserve"> Boran </t>
  </si>
  <si>
    <t xml:space="preserve"> Australian Bakery </t>
  </si>
  <si>
    <t xml:space="preserve"> Mix Store </t>
  </si>
  <si>
    <t xml:space="preserve"> DAO </t>
  </si>
  <si>
    <t xml:space="preserve"> Triple Happiness </t>
  </si>
  <si>
    <t xml:space="preserve"> Xin Mun Kee Freshmart </t>
  </si>
  <si>
    <t xml:space="preserve"> Tangfei </t>
  </si>
  <si>
    <t xml:space="preserve"> Happiness Asia Chicken  </t>
  </si>
  <si>
    <t xml:space="preserve"> Multi Venture </t>
  </si>
  <si>
    <t xml:space="preserve"> Multi Venture Networks Sdn Bhd </t>
  </si>
  <si>
    <t xml:space="preserve"> SALES </t>
  </si>
  <si>
    <t xml:space="preserve"> Yu Yi Herbs &amp; Organic  </t>
  </si>
  <si>
    <t xml:space="preserve"> Purple Monkey </t>
  </si>
  <si>
    <t xml:space="preserve"> Pasta Ohsem </t>
  </si>
  <si>
    <t xml:space="preserve"> Arooi Thai Chicken </t>
  </si>
  <si>
    <t xml:space="preserve"> Thai Moment </t>
  </si>
  <si>
    <t xml:space="preserve"> 1978 Cucur Udang  </t>
  </si>
  <si>
    <t>Pak Cu 916</t>
  </si>
  <si>
    <t>Karya Kopi</t>
  </si>
  <si>
    <t>Jasai Enterprise Sdn Bhd</t>
  </si>
  <si>
    <t>KUEH</t>
  </si>
  <si>
    <t xml:space="preserve"> Little Days Cafe </t>
  </si>
  <si>
    <t xml:space="preserve"> Uncle Lim's Kopitiam </t>
  </si>
  <si>
    <t xml:space="preserve"> Yuen Ting Street Food </t>
  </si>
  <si>
    <t xml:space="preserve"> All Ace </t>
  </si>
  <si>
    <t xml:space="preserve"> Ribs King </t>
  </si>
  <si>
    <t xml:space="preserve"> Taiwanese House </t>
  </si>
  <si>
    <t xml:space="preserve"> Pad Boy </t>
  </si>
  <si>
    <t xml:space="preserve"> Fluffed </t>
  </si>
  <si>
    <t xml:space="preserve"> Khong Kee </t>
  </si>
  <si>
    <t xml:space="preserve"> Harome </t>
  </si>
  <si>
    <t xml:space="preserve"> Yoo Noodle </t>
  </si>
  <si>
    <t>Seirock-ya Ramen</t>
  </si>
  <si>
    <t>Joypack Foods Malaysia</t>
  </si>
  <si>
    <t xml:space="preserve"> Cha-ba-shi-ra </t>
  </si>
  <si>
    <t>Dandy</t>
  </si>
  <si>
    <t>Dandy Modern Food Sdn Bhd</t>
  </si>
  <si>
    <t xml:space="preserve"> Lim Fried Chicken </t>
  </si>
  <si>
    <t xml:space="preserve"> Pak Tam </t>
  </si>
  <si>
    <t>Sari Ratu Signature</t>
  </si>
  <si>
    <t>SDZ Dining Sdn Bhd</t>
  </si>
  <si>
    <t>Mascorn Café</t>
  </si>
  <si>
    <t>Mascorn Sdn Bhd</t>
  </si>
  <si>
    <t>Happy Organic</t>
  </si>
  <si>
    <t>Ayam Gepuk Artisan</t>
  </si>
  <si>
    <t>Nasiiii.my</t>
  </si>
  <si>
    <t>Mee Tarik Jalan Sultan</t>
  </si>
  <si>
    <t>Mad Chilli Pan Mee</t>
  </si>
  <si>
    <t>Milk &amp; Barley</t>
  </si>
  <si>
    <t>Kafe Ruuma</t>
  </si>
  <si>
    <t>Kokos Sdn Bhd</t>
  </si>
  <si>
    <t>Cocos</t>
  </si>
  <si>
    <t xml:space="preserve"> JDV Cafe  </t>
  </si>
  <si>
    <t xml:space="preserve"> Meatpoint</t>
  </si>
  <si>
    <t>Meatpoint</t>
  </si>
  <si>
    <t xml:space="preserve"> Sushi Point</t>
  </si>
  <si>
    <t xml:space="preserve"> Hott Point</t>
  </si>
  <si>
    <t xml:space="preserve"> Pizza Point</t>
  </si>
  <si>
    <t xml:space="preserve"> SeaPoint</t>
  </si>
  <si>
    <t xml:space="preserve"> Pretty Hot Chicken </t>
  </si>
  <si>
    <t xml:space="preserve"> Alpro Pharmacy </t>
  </si>
  <si>
    <t xml:space="preserve"> Kopi Street </t>
  </si>
  <si>
    <t xml:space="preserve"> Gula Cakery </t>
  </si>
  <si>
    <t xml:space="preserve"> Michelangelo's</t>
  </si>
  <si>
    <t xml:space="preserve"> SW Food &amp; Bar Concepts Sdn Bhd </t>
  </si>
  <si>
    <t xml:space="preserve"> Ocean Twe12ve</t>
  </si>
  <si>
    <t xml:space="preserve"> Pasta Fresca by Michelangelo's </t>
  </si>
  <si>
    <t xml:space="preserve"> La Juiceria</t>
  </si>
  <si>
    <t xml:space="preserve"> La Juiceria Superfoods Sdn Bhd </t>
  </si>
  <si>
    <t xml:space="preserve"> Super Saigon</t>
  </si>
  <si>
    <t xml:space="preserve"> Hawker Hall </t>
  </si>
  <si>
    <t xml:space="preserve"> Kampunglah</t>
  </si>
  <si>
    <t xml:space="preserve"> Kampung Salai Sdn Bhd </t>
  </si>
  <si>
    <t xml:space="preserve"> Tapaulah</t>
  </si>
  <si>
    <t xml:space="preserve"> Tingkap</t>
  </si>
  <si>
    <t xml:space="preserve"> Junjung</t>
  </si>
  <si>
    <t xml:space="preserve"> Dapur Kampung Salai</t>
  </si>
  <si>
    <t xml:space="preserve"> Bendang Kitchen </t>
  </si>
  <si>
    <t xml:space="preserve"> Hometown Hainan Coffee </t>
  </si>
  <si>
    <t xml:space="preserve"> Hometown F&amp;B (M) Sdn Bhd </t>
  </si>
  <si>
    <t xml:space="preserve"> Bad Scones </t>
  </si>
  <si>
    <t xml:space="preserve"> The Barns</t>
  </si>
  <si>
    <t xml:space="preserve"> Vineyard F&amp;B Sdn Bhd </t>
  </si>
  <si>
    <t xml:space="preserve">Arthur's Storehouse </t>
  </si>
  <si>
    <t xml:space="preserve"> Tasty Chapathi  </t>
  </si>
  <si>
    <t xml:space="preserve"> My Streams Sdn Bhd </t>
  </si>
  <si>
    <t xml:space="preserve"> Daily Hub </t>
  </si>
  <si>
    <t xml:space="preserve"> Sweetree </t>
  </si>
  <si>
    <t xml:space="preserve"> Flying Turtle Sdn Bhd </t>
  </si>
  <si>
    <t xml:space="preserve"> Ordinery Cafe </t>
  </si>
  <si>
    <t xml:space="preserve"> Ordinery Sdn Bhd </t>
  </si>
  <si>
    <t xml:space="preserve"> Brick &amp; Bread Cafe </t>
  </si>
  <si>
    <t xml:space="preserve"> Wangsa Hospitality Sdn Bhd </t>
  </si>
  <si>
    <t xml:space="preserve"> Desire Limitless  </t>
  </si>
  <si>
    <t xml:space="preserve"> Pinnacle Aspect Sdn Bhd </t>
  </si>
  <si>
    <t xml:space="preserve"> Lotteria Malaysia </t>
  </si>
  <si>
    <t xml:space="preserve"> Serai Global Venture Sdn Bhd </t>
  </si>
  <si>
    <t xml:space="preserve"> MIchelangelo </t>
  </si>
  <si>
    <t xml:space="preserve"> New Ocean World Fine Food City </t>
  </si>
  <si>
    <t xml:space="preserve"> New Ocean World Fine Food City Sdn Bhd </t>
  </si>
  <si>
    <t xml:space="preserve"> Vintry</t>
  </si>
  <si>
    <t xml:space="preserve"> Tinkermen Collective </t>
  </si>
  <si>
    <t xml:space="preserve"> Proof Pizza Wine</t>
  </si>
  <si>
    <t xml:space="preserve"> Joelle</t>
  </si>
  <si>
    <t xml:space="preserve"> Toji</t>
  </si>
  <si>
    <t xml:space="preserve"> Stoked</t>
  </si>
  <si>
    <t xml:space="preserve"> Grano Pasta Bar</t>
  </si>
  <si>
    <t xml:space="preserve"> Mazi Greek Taverna</t>
  </si>
  <si>
    <t xml:space="preserve"> Tucker &amp; Co. Dim Dou Duck</t>
  </si>
  <si>
    <t xml:space="preserve"> Smith Breads Cafe</t>
  </si>
  <si>
    <t xml:space="preserve"> The Public House by Vintry</t>
  </si>
  <si>
    <t xml:space="preserve"> Bou Claypot Rice &amp; Such</t>
  </si>
  <si>
    <t xml:space="preserve"> Hou Yum Duck</t>
  </si>
  <si>
    <t xml:space="preserve"> Osteria Emilia</t>
  </si>
  <si>
    <t xml:space="preserve"> Quin Brasserie &amp; Wine Bar</t>
  </si>
  <si>
    <t xml:space="preserve"> Jie </t>
  </si>
  <si>
    <t xml:space="preserve"> Brik KL </t>
  </si>
  <si>
    <t xml:space="preserve"> FESDH FES Sdn Bhd </t>
  </si>
  <si>
    <t xml:space="preserve"> Mr Fish Seafood Noodle </t>
  </si>
  <si>
    <t xml:space="preserve"> Mr Fish Holding Sdn Bhd </t>
  </si>
  <si>
    <t xml:space="preserve"> Penyet Penyet </t>
  </si>
  <si>
    <t xml:space="preserve"> Recipe Arena Sdn Bhd </t>
  </si>
  <si>
    <t xml:space="preserve"> Hulu Coffee </t>
  </si>
  <si>
    <t xml:space="preserve"> Eufood Pro Sdn Bhd </t>
  </si>
  <si>
    <t xml:space="preserve"> Madam Fish Noodle </t>
  </si>
  <si>
    <t xml:space="preserve"> Ma Flare Sdn Bhd </t>
  </si>
  <si>
    <t xml:space="preserve"> Piau Kee Marine </t>
  </si>
  <si>
    <t xml:space="preserve"> Piau Kee Marine Sdn Bhd </t>
  </si>
  <si>
    <t xml:space="preserve"> Ali Muthu Ah Hock </t>
  </si>
  <si>
    <t xml:space="preserve"> Nasi Lemak Gempak Sdn Bhd </t>
  </si>
  <si>
    <t xml:space="preserve"> Ahmad's Fried Chicken </t>
  </si>
  <si>
    <t xml:space="preserve"> Ahmad's Fried Chicken Sdn Bhd </t>
  </si>
  <si>
    <t xml:space="preserve"> Brainy Bunch </t>
  </si>
  <si>
    <t xml:space="preserve"> Brainy Bunch Preschool Sdn Bhd </t>
  </si>
  <si>
    <t xml:space="preserve"> Tea Garden </t>
  </si>
  <si>
    <t xml:space="preserve"> Tea Garden Restaurant (M) Sdn Bhd </t>
  </si>
  <si>
    <t xml:space="preserve"> Ayam Penyet Best </t>
  </si>
  <si>
    <t xml:space="preserve"> Ayam Penyet Bagus Sdn Bhd </t>
  </si>
  <si>
    <t xml:space="preserve"> Official Street Cafe </t>
  </si>
  <si>
    <t xml:space="preserve"> Being Juice </t>
  </si>
  <si>
    <t xml:space="preserve"> Being Global Sdn Bhd </t>
  </si>
  <si>
    <t xml:space="preserve"> 7Ate9 Cafe </t>
  </si>
  <si>
    <t xml:space="preserve"> Segar Cafe Sdn Bhd </t>
  </si>
  <si>
    <t>Carol</t>
  </si>
  <si>
    <t>+60 12-201 8209</t>
  </si>
  <si>
    <t xml:space="preserve"> Modu Three Brothers  </t>
  </si>
  <si>
    <t xml:space="preserve"> M Three Brothers Sdn Bhd </t>
  </si>
  <si>
    <t xml:space="preserve"> Saizeriya Singapore </t>
  </si>
  <si>
    <t xml:space="preserve"> Madbean Holding Sdn Bhd </t>
  </si>
  <si>
    <t xml:space="preserve"> Pound</t>
  </si>
  <si>
    <t xml:space="preserve"> Aldephi Collective / 
Food Workshop Sdn Bhd </t>
  </si>
  <si>
    <t xml:space="preserve"> Jojo</t>
  </si>
  <si>
    <t xml:space="preserve"> Kinsly </t>
  </si>
  <si>
    <t xml:space="preserve"> Sintak Kee Foods Trading </t>
  </si>
  <si>
    <t xml:space="preserve"> Little Tee Cakes  </t>
  </si>
  <si>
    <t xml:space="preserve"> Tee Empire Sdn Bhd </t>
  </si>
  <si>
    <t xml:space="preserve"> 1901 Hotdog Malaysia </t>
  </si>
  <si>
    <t xml:space="preserve"> Big Nineteen Sdn Bhd </t>
  </si>
  <si>
    <t xml:space="preserve"> The Nasi Lemak Shop </t>
  </si>
  <si>
    <t xml:space="preserve"> Kopihut </t>
  </si>
  <si>
    <t xml:space="preserve"> Hextar Retail Group </t>
  </si>
  <si>
    <t xml:space="preserve"> Tamjai </t>
  </si>
  <si>
    <t xml:space="preserve"> Ayam &amp; Rice </t>
  </si>
  <si>
    <t xml:space="preserve"> Go Pizza </t>
  </si>
  <si>
    <t xml:space="preserve"> Vanilla Crepe </t>
  </si>
  <si>
    <t xml:space="preserve"> Vanilla Mille Crepe Kitchen Sdn Bhd </t>
  </si>
  <si>
    <t xml:space="preserve"> Bright Hill </t>
  </si>
  <si>
    <t>Bright Hill Islamic Montessori Sdn Bhd</t>
  </si>
  <si>
    <t xml:space="preserve"> Ayam Gepuk Pak Gendut </t>
  </si>
  <si>
    <t>AGPG Sdn Bhd</t>
  </si>
  <si>
    <t xml:space="preserve"> Daily Fresh </t>
  </si>
  <si>
    <t>Daily Fresh Foods Sdn Bhd</t>
  </si>
  <si>
    <t xml:space="preserve"> Penang Chendul </t>
  </si>
  <si>
    <t>Penang Road Famous Teochew Chendol Sdn Bhd</t>
  </si>
  <si>
    <t xml:space="preserve"> Al Amar Restaurant </t>
  </si>
  <si>
    <t xml:space="preserve"> Azzurro Sdn Bhd </t>
  </si>
  <si>
    <t xml:space="preserve"> Huckleberry</t>
  </si>
  <si>
    <t xml:space="preserve"> Huckleberry Hospitality Group Sdn Bhd </t>
  </si>
  <si>
    <t xml:space="preserve"> Mezze</t>
  </si>
  <si>
    <t xml:space="preserve"> Birch</t>
  </si>
  <si>
    <t xml:space="preserve"> Skullduggery </t>
  </si>
  <si>
    <t xml:space="preserve"> Lacher Patisserie </t>
  </si>
  <si>
    <t xml:space="preserve"> Lacher Malaysia Sdn Bhd </t>
  </si>
  <si>
    <t xml:space="preserve"> Grandmama's- 1 CK + 7</t>
  </si>
  <si>
    <t xml:space="preserve"> Trillion Benchmark x Dekad Sinaran </t>
  </si>
  <si>
    <t xml:space="preserve"> Grand Harbour x 3</t>
  </si>
  <si>
    <t xml:space="preserve"> Dai Cha Dim x3</t>
  </si>
  <si>
    <t xml:space="preserve"> Canton Court</t>
  </si>
  <si>
    <t xml:space="preserve"> Fuji Sushi</t>
  </si>
  <si>
    <t xml:space="preserve"> Tokyo Teppan</t>
  </si>
  <si>
    <t xml:space="preserve"> Artelier Coffee</t>
  </si>
  <si>
    <t xml:space="preserve"> Fukuya Dining</t>
  </si>
  <si>
    <t xml:space="preserve"> Baan Phad Thai</t>
  </si>
  <si>
    <t xml:space="preserve"> The Coffee?Academics </t>
  </si>
  <si>
    <t xml:space="preserve"> Samyoo </t>
  </si>
  <si>
    <t xml:space="preserve"> Samyoo Networks Sdn Bhd </t>
  </si>
  <si>
    <t xml:space="preserve">Signature Tasty Claypot Chicken </t>
  </si>
  <si>
    <t>Signature Tasty Claypot House Holding Sdn Bhd</t>
  </si>
  <si>
    <t>Tedboy</t>
  </si>
  <si>
    <t>Uniqbe Bakery Sdn Bhd</t>
  </si>
  <si>
    <t>NALE - The Nasi Lemak Co.</t>
  </si>
  <si>
    <t>Recipetwist Technology Sdn Bhd</t>
  </si>
  <si>
    <t>NAKU by Nale</t>
  </si>
  <si>
    <t>Kenny Hills Bakers</t>
  </si>
  <si>
    <t>Kenny Hills Manufactory Sdn Bhd</t>
  </si>
  <si>
    <t xml:space="preserve"> Connect Hospitality</t>
  </si>
  <si>
    <t xml:space="preserve"> Flour Fire Stone</t>
  </si>
  <si>
    <t xml:space="preserve"> Kenny Hills Coffee</t>
  </si>
  <si>
    <t xml:space="preserve"> Kenny Hills Manufactory</t>
  </si>
  <si>
    <t>Two Sons Bistro</t>
  </si>
  <si>
    <t>Latay Sdn Bhd</t>
  </si>
  <si>
    <t>Sweeds</t>
  </si>
  <si>
    <t>Sweeds Cafe Sdn Bhd</t>
  </si>
  <si>
    <t>Wok Hunter Australia</t>
  </si>
  <si>
    <t>Wok Hunter Pte Ltd</t>
  </si>
  <si>
    <t>BBQ Chicken</t>
  </si>
  <si>
    <t>Charlie's Chicken Chop</t>
  </si>
  <si>
    <t>Le Deli</t>
  </si>
  <si>
    <t>Eat Drink Thai</t>
  </si>
  <si>
    <t>Superfluous Coffee</t>
  </si>
  <si>
    <t>Angellailai Kitchen</t>
  </si>
  <si>
    <t>Irene Aquarium</t>
  </si>
  <si>
    <t>MyBurgerLab</t>
  </si>
  <si>
    <t xml:space="preserve">MyPizzaLab </t>
  </si>
  <si>
    <t>the ice cream bar</t>
  </si>
  <si>
    <t>Spare Parts shops</t>
  </si>
  <si>
    <t xml:space="preserve">Pastea </t>
  </si>
  <si>
    <t>Pasta Panas</t>
  </si>
  <si>
    <t>PPFB Retail Sdn Bhd</t>
  </si>
  <si>
    <t>Big Tas Tea</t>
  </si>
  <si>
    <t>Big Tastea Sdn Bhd</t>
  </si>
  <si>
    <t>Ahh Yum</t>
  </si>
  <si>
    <t>Kampong Kravers (M) Sdn Bhd</t>
  </si>
  <si>
    <t>Nasi Lemak Burung Hantu</t>
  </si>
  <si>
    <t>EZAM RESOURCES (M) SDN. BHD.</t>
  </si>
  <si>
    <t>Lalezar Restaurant &amp; Cafe</t>
  </si>
  <si>
    <t>SOI55</t>
  </si>
  <si>
    <t>?Soi 55 Sdn. Bhd</t>
  </si>
  <si>
    <t>Mat Rock Ayam Goreng Kunyit</t>
  </si>
  <si>
    <t>RR LARIS SDN. BHD.</t>
  </si>
  <si>
    <t>MAiSEN</t>
  </si>
  <si>
    <t>TM Restaurants SDN BHD</t>
  </si>
  <si>
    <t>Tonkatsu by Ma Maison</t>
  </si>
  <si>
    <t>Ma Maison Tonkatsu Sdn Bhd</t>
  </si>
  <si>
    <t>Molten Chocolate Cafe</t>
  </si>
  <si>
    <t>Molten Chocolate Cafe International Sdn. Bhd.</t>
  </si>
  <si>
    <t>Sushi Mentai</t>
  </si>
  <si>
    <t>SUSHI MENTAI ENTERPRISE SDN. BHD</t>
  </si>
  <si>
    <t>Juzcoco</t>
  </si>
  <si>
    <t>Juzcoco Sdn. Bhd</t>
  </si>
  <si>
    <t>PadangsOnWheels</t>
  </si>
  <si>
    <t>Nasi Briyani Buluh</t>
  </si>
  <si>
    <t>NY Steak Shack</t>
  </si>
  <si>
    <t>NYSS Restaurants Sdn. Bhd</t>
  </si>
  <si>
    <t>Bumbu Babah</t>
  </si>
  <si>
    <t>Babah Ventures Sdn Bhd</t>
  </si>
  <si>
    <t>Fowl Boys</t>
  </si>
  <si>
    <t>FOWLBOYS SDN BHD</t>
  </si>
  <si>
    <t>Sushi Ya</t>
  </si>
  <si>
    <t>JVT Sushi YA Sdn Bhd</t>
  </si>
  <si>
    <t>Nippon Sushi</t>
  </si>
  <si>
    <t>Nippon Sushi (M) Sdn. Bhd</t>
  </si>
  <si>
    <t>Genki Sushi</t>
  </si>
  <si>
    <t>Genki Sushi (Malaysia) Sdn. Bhd.</t>
  </si>
  <si>
    <t>Sushi Hiro</t>
  </si>
  <si>
    <t>Exodus F&amp;B 3 Sdn Bhd</t>
  </si>
  <si>
    <t>Vivo Pizza</t>
  </si>
  <si>
    <t>Vivo Food Sdn. Bhd</t>
  </si>
  <si>
    <t>US Pizza</t>
  </si>
  <si>
    <t>MY US PIZZA SDN. BHD</t>
  </si>
  <si>
    <t>Miker Pizza</t>
  </si>
  <si>
    <t>MIKER PIZZA SDN. BHD.</t>
  </si>
  <si>
    <t>Empire Sushi</t>
  </si>
  <si>
    <t>EMPIRE SUSHI SDN BHD</t>
  </si>
  <si>
    <t>Dolly Dim Sum</t>
  </si>
  <si>
    <t>ASIA MEX CONCEPTS SDN BHD</t>
  </si>
  <si>
    <t>Jibril</t>
  </si>
  <si>
    <t>De Oratore Sdn?Bhd</t>
  </si>
  <si>
    <t>Asiari Dim Sum</t>
  </si>
  <si>
    <t>Asiari Enterprise Sdn Bhd</t>
  </si>
  <si>
    <t>Cor Blimey</t>
  </si>
  <si>
    <t>COR BLIMEY (SUBANG JAYA) SDN. BHD.</t>
  </si>
  <si>
    <t>Polperro Steak House</t>
  </si>
  <si>
    <t>Polperro Group Sdn Bhd</t>
  </si>
  <si>
    <t>Pasadena Burger &amp; Coffee</t>
  </si>
  <si>
    <t>Kolumpo Kopitiam</t>
  </si>
  <si>
    <t>KOLUMPO KOPITIAM SDN. BHD</t>
  </si>
  <si>
    <t xml:space="preserve">d'Italiane </t>
  </si>
  <si>
    <t>Big Boss HSP</t>
  </si>
  <si>
    <t>OZVentures Holdings Sdn Bhd.</t>
  </si>
  <si>
    <t>MEE TARIK HOLDINGS SDN BHD</t>
  </si>
  <si>
    <t>The BRGR</t>
  </si>
  <si>
    <t>Five Extracts Sdn. Bhd</t>
  </si>
  <si>
    <t>KGB</t>
  </si>
  <si>
    <t>KGB Holdings Sdn Bhd</t>
  </si>
  <si>
    <t>Ayam Penyet AP</t>
  </si>
  <si>
    <t>Ayam Penyet Api Sdn Bhd</t>
  </si>
  <si>
    <t>Thai Moment</t>
  </si>
  <si>
    <t>Thai Essential Holding Sdn Bhd</t>
  </si>
  <si>
    <t>Soru Station</t>
  </si>
  <si>
    <t>SORU GROUP SDN. BHD</t>
  </si>
  <si>
    <t>Uma Bali</t>
  </si>
  <si>
    <t>Shell Out</t>
  </si>
  <si>
    <t>AM To PM Edge Sdn Bhd</t>
  </si>
  <si>
    <t>Paradise Dynasty</t>
  </si>
  <si>
    <t>Paradise Group</t>
  </si>
  <si>
    <t>Da Long Yi Hot Pot</t>
  </si>
  <si>
    <t>Al Sham Restaurant</t>
  </si>
  <si>
    <t>Tanah Aina Cafe &amp; Restaurant</t>
  </si>
  <si>
    <t>Tanah Aina Sdn Bhd</t>
  </si>
  <si>
    <t>Sihaf</t>
  </si>
  <si>
    <t>Mios Kitchen</t>
  </si>
  <si>
    <t>Mios Gastronomy Group Sdn. Bhd.</t>
  </si>
  <si>
    <t>Sushi Kitchen</t>
  </si>
  <si>
    <t>Sushi Kitchen Group Sdn. Bhd</t>
  </si>
  <si>
    <t>Zen &amp; Co</t>
  </si>
  <si>
    <t>Kin Thai</t>
  </si>
  <si>
    <t>THAI KIN SDN. BHD</t>
  </si>
  <si>
    <t>Hott Chickk</t>
  </si>
  <si>
    <t>Hot Bird</t>
  </si>
  <si>
    <t>Hot Bird Sdn. Bhd.?</t>
  </si>
  <si>
    <t>Thong Bowl</t>
  </si>
  <si>
    <t>Thong World Sdn Bhd</t>
  </si>
  <si>
    <t>Binq Dessert</t>
  </si>
  <si>
    <t>BINQ DESSERT SDN. BHD.</t>
  </si>
  <si>
    <t>Donkai</t>
  </si>
  <si>
    <t>DONKAI BUKIT BINTANG SDN. BHD</t>
  </si>
  <si>
    <t>TPCB - The Permenant Choice Burger</t>
  </si>
  <si>
    <t>Nak Nak</t>
  </si>
  <si>
    <t>K Fry Kitchens Sdn Bhd</t>
  </si>
  <si>
    <t>White Butter KL</t>
  </si>
  <si>
    <t>WHITEBUTTER ENTERPRISE</t>
  </si>
  <si>
    <t>Ombak Kitchen</t>
  </si>
  <si>
    <t>The Farm</t>
  </si>
  <si>
    <t>Food Curators Sdn Bhd</t>
  </si>
  <si>
    <t>Maria's Steakcafe</t>
  </si>
  <si>
    <t>Maria Steakcafe Sdn Bhd</t>
  </si>
  <si>
    <t>Naj &amp; Belle</t>
  </si>
  <si>
    <t>NAJ N BELLE SDN. BHD.</t>
  </si>
  <si>
    <t>Right Side</t>
  </si>
  <si>
    <t>AMAZON DINERS (M) SDN BHD</t>
  </si>
  <si>
    <t>Ayam Gepuk Tradisional</t>
  </si>
  <si>
    <t>AYAM GEPUK TRADISIONAL LAMA (Malaysia)</t>
  </si>
  <si>
    <t>Lan Zhou Mee Tarik</t>
  </si>
  <si>
    <t>LZ MEE TARIK SDN. BHD.</t>
  </si>
  <si>
    <t>Mee Hiris China Muslim</t>
  </si>
  <si>
    <t>Mee Hiris China Muslim Sdn Bhd</t>
  </si>
  <si>
    <t>Mee Tarik Faizal Kong</t>
  </si>
  <si>
    <t>Rohde &amp; Schwarz Malaysia Sdn. Bhd</t>
  </si>
  <si>
    <t>RSMY</t>
  </si>
  <si>
    <t>TBC</t>
  </si>
  <si>
    <t>Red Raging Bull Sdn Bhd</t>
  </si>
  <si>
    <t>El Cerdo</t>
  </si>
  <si>
    <t>Meat Point</t>
  </si>
  <si>
    <t>d'Tandoor</t>
  </si>
  <si>
    <t>D-TANDOOR FOOD INDUSTRIES SDN. BHD</t>
  </si>
  <si>
    <t>Johnny's</t>
  </si>
  <si>
    <t>?Dynasun Sdn Bhd</t>
  </si>
  <si>
    <t>Al Sultan</t>
  </si>
  <si>
    <t>AL SULTAN SDN BHD</t>
  </si>
  <si>
    <t>Rock Salt</t>
  </si>
  <si>
    <t>Yahala</t>
  </si>
  <si>
    <t>YAHALA GROUP SDN. BHD</t>
  </si>
  <si>
    <t>Der Backmeister</t>
  </si>
  <si>
    <t>Der Backmeister Sdn Bh</t>
  </si>
  <si>
    <t>Ruang</t>
  </si>
  <si>
    <t>Sopoong</t>
  </si>
  <si>
    <t>SOPOONG F&amp;B SDN. BHD</t>
  </si>
  <si>
    <t>Bon Appetite</t>
  </si>
  <si>
    <t>BON APPETIT LTD?</t>
  </si>
  <si>
    <t>The Roulette</t>
  </si>
  <si>
    <t>Uroko</t>
  </si>
  <si>
    <t>UROKO JAPANESE CUISINE SDN. BHD.</t>
  </si>
  <si>
    <t>Torii Teppanyaki</t>
  </si>
  <si>
    <t>Torii Brands Sdn Bhd</t>
  </si>
  <si>
    <t>Krua Thai Mookata</t>
  </si>
  <si>
    <t>Savoury Budz (Cheras) Sdn Bhd</t>
  </si>
  <si>
    <t>Bucolic</t>
  </si>
  <si>
    <t>Bucolic F&amp;B Sdn. Bhd.?</t>
  </si>
  <si>
    <t>Meat One Cuisine</t>
  </si>
  <si>
    <t>Zakuro</t>
  </si>
  <si>
    <t>De Hunan</t>
  </si>
  <si>
    <t>RESTORAN DE HUNAN SDN. BHD</t>
  </si>
  <si>
    <t>Mama Kim</t>
  </si>
  <si>
    <t>Mamakim Wellness Kitchen Sdn Bhd</t>
  </si>
  <si>
    <t>India Gate</t>
  </si>
  <si>
    <t>Restoran India Gate Sdn Bhd</t>
  </si>
  <si>
    <t>Bumbu Bali</t>
  </si>
  <si>
    <t>Zignature 22</t>
  </si>
  <si>
    <t>ZIGNATURE 22 EMPIRE.?</t>
  </si>
  <si>
    <t>La Pane'</t>
  </si>
  <si>
    <t>Penyet Express</t>
  </si>
  <si>
    <t>?Penyet Express Sdn Bhd. Bhd</t>
  </si>
  <si>
    <t>Baby Cami Sushi</t>
  </si>
  <si>
    <t>Mohd Chan</t>
  </si>
  <si>
    <t>?Mohd Chan Group Berhad</t>
  </si>
  <si>
    <t>Porto Romano</t>
  </si>
  <si>
    <t>PORTO ROMANO SDN. BHD</t>
  </si>
  <si>
    <t>Eatomo</t>
  </si>
  <si>
    <t>Eatomo Sdn Bhd</t>
  </si>
  <si>
    <t>RyoRi Kitchen</t>
  </si>
  <si>
    <t>Putien</t>
  </si>
  <si>
    <t>PU TIEN (MALAYSIA) SDN. BHD</t>
  </si>
  <si>
    <t>Only World Group</t>
  </si>
  <si>
    <t>Only World Group?Holdings Berhad.?</t>
  </si>
  <si>
    <t>Ryoshi Izikaya</t>
  </si>
  <si>
    <t>Dar Al Arab</t>
  </si>
  <si>
    <t>The Social</t>
  </si>
  <si>
    <t>?BlueFire (M) Sdn Bhd</t>
  </si>
  <si>
    <t>Las Carretas</t>
  </si>
  <si>
    <t>Two Pesos</t>
  </si>
  <si>
    <t>OSOME FOODS SDN BHD</t>
  </si>
  <si>
    <t>Italiannies</t>
  </si>
  <si>
    <t>Craveat Italiana (TC) Sdn Bhd</t>
  </si>
  <si>
    <t>Murni Discovery</t>
  </si>
  <si>
    <t>MURNI DISCOVERY SDN BHD</t>
  </si>
  <si>
    <t>BBQ Town</t>
  </si>
  <si>
    <t>BBQTOWN SDN BHD</t>
  </si>
  <si>
    <t>Mee Kicap Ipoh</t>
  </si>
  <si>
    <t>Indo Asli</t>
  </si>
  <si>
    <t>Al Rawsha</t>
  </si>
  <si>
    <t>EL-OZEIR SDN. BHD.</t>
  </si>
  <si>
    <t>Team Udon</t>
  </si>
  <si>
    <t>TEAM UDON SDN. BHD.</t>
  </si>
  <si>
    <t>Bestow</t>
  </si>
  <si>
    <t>Hut Dining Buffet</t>
  </si>
  <si>
    <t>Sake Bar</t>
  </si>
  <si>
    <t>Coliseum</t>
  </si>
  <si>
    <t>Wagyu More</t>
  </si>
  <si>
    <t>Simply Awesome Sdn Bhd</t>
  </si>
  <si>
    <t>Flaaah</t>
  </si>
  <si>
    <t>FLAAAH THE BAKERY SDN. BHD.</t>
  </si>
  <si>
    <t>An Viet</t>
  </si>
  <si>
    <t>Real Food People Sdn. Bhd.</t>
  </si>
  <si>
    <t>Fong Lye</t>
  </si>
  <si>
    <t>Red Kettle</t>
  </si>
  <si>
    <t>Red Kettle Sdn Bhd</t>
  </si>
  <si>
    <t>Kedai Kopi Malaya</t>
  </si>
  <si>
    <t>KEDAI KOPI MALAYA SDN. BHD</t>
  </si>
  <si>
    <t>Go Noodle House</t>
  </si>
  <si>
    <t>TRIO3 FOOD SUPPLY SDN. BHD.?</t>
  </si>
  <si>
    <t>Raman Bankara</t>
  </si>
  <si>
    <t>Slurp &amp; Burp Concept Sdn Bhd?</t>
  </si>
  <si>
    <t>Omega Pork Noodle</t>
  </si>
  <si>
    <t>Omega Pork Noodle Sdn. Bhd.</t>
  </si>
  <si>
    <t>The Nale</t>
  </si>
  <si>
    <t>Nasi Lemak NALE Sdn Bhd</t>
  </si>
  <si>
    <t>Christine's Bakery</t>
  </si>
  <si>
    <t>CL Bakery Sdn Bhd?</t>
  </si>
  <si>
    <t>Ko Hyang</t>
  </si>
  <si>
    <t>Salad Atelier</t>
  </si>
  <si>
    <t>MBFE Sdn Bhd</t>
  </si>
  <si>
    <t>Bo The Avocado</t>
  </si>
  <si>
    <t>Diana's Premium Cakes</t>
  </si>
  <si>
    <t>Diana¡¯s Premium Cakes PLT</t>
  </si>
  <si>
    <t>Peranakan Place</t>
  </si>
  <si>
    <t>PERANAKAN PLACE (M) SDN. BHD. (Malaysia)</t>
  </si>
  <si>
    <t>Roberto's</t>
  </si>
  <si>
    <t>Vitalia Lifestyle Sdn Bhd</t>
  </si>
  <si>
    <t>Fuel Shack</t>
  </si>
  <si>
    <t>Fuel Shack Sdn. Bhd</t>
  </si>
  <si>
    <t>Cong Caphe</t>
  </si>
  <si>
    <t>Pentagram Holdings Sdn Bhd</t>
  </si>
  <si>
    <t>Waroeng Penyet</t>
  </si>
  <si>
    <t>Shabu-Yo Skylark</t>
  </si>
  <si>
    <t>SKYLARK Malaysia SDN BHD</t>
  </si>
  <si>
    <t>Marinero</t>
  </si>
  <si>
    <t>?The Mariner Sdn Bhd.</t>
  </si>
  <si>
    <t>Hoshino Coffee</t>
  </si>
  <si>
    <t>Nota KL</t>
  </si>
  <si>
    <t>Nota Concepts Sdn Bhd</t>
  </si>
  <si>
    <t>Broom Artisan Bakery</t>
  </si>
  <si>
    <t>GOSSYPIUM SDN BHD</t>
  </si>
  <si>
    <t>Ra Ra Coffee</t>
  </si>
  <si>
    <t>MAD EATER SDN. BHD.</t>
  </si>
  <si>
    <t>Kopi Holic</t>
  </si>
  <si>
    <t>Baristar</t>
  </si>
  <si>
    <t>Kuro Steamboat</t>
  </si>
  <si>
    <t>Kuro Steamboat Sdn Bhd</t>
  </si>
  <si>
    <t>Ajuuma</t>
  </si>
  <si>
    <t>Hartton Kitchen</t>
  </si>
  <si>
    <t>Beca Tea</t>
  </si>
  <si>
    <t>Gentle Rebel Sdn Bhd</t>
  </si>
  <si>
    <t>Mala Jjiang</t>
  </si>
  <si>
    <t>Madeleine</t>
  </si>
  <si>
    <t>Kanbe</t>
  </si>
  <si>
    <t>?</t>
  </si>
  <si>
    <t>Synergy Dining Group Sdn Bhd</t>
  </si>
  <si>
    <t>Commonman Coffee Roaster</t>
  </si>
  <si>
    <t>Onde-Onde</t>
  </si>
  <si>
    <t>Apaulstrophe Sdn Bhd.</t>
  </si>
  <si>
    <t>Little Fat Duck</t>
  </si>
  <si>
    <t>Little Fat Duck Sdn Bhd</t>
  </si>
  <si>
    <t>Petite Maison</t>
  </si>
  <si>
    <t>Strategos Central Bakehouse Sdn Bhd.</t>
  </si>
  <si>
    <t>Ah Cheng Laksa</t>
  </si>
  <si>
    <t>AH CHENG LAKSA SDN. BHD.</t>
  </si>
  <si>
    <t>Urban Ground</t>
  </si>
  <si>
    <t>URBAN GROUND?SDN. BH</t>
  </si>
  <si>
    <t>Fluffed</t>
  </si>
  <si>
    <t>FLUFFED CAFE</t>
  </si>
  <si>
    <t>Hana Dining</t>
  </si>
  <si>
    <t>?Hana Dining Sake Bar Sdn Bhd</t>
  </si>
  <si>
    <t>Chicken Claypot House</t>
  </si>
  <si>
    <t>Signature Tasty Claypot House Holding Sdn. Bhd?</t>
  </si>
  <si>
    <t>Snow Flake</t>
  </si>
  <si>
    <t>Paris Baquette</t>
  </si>
  <si>
    <t>Berjaya Paris Baguette Sdn. Bhd.</t>
  </si>
  <si>
    <t>RT Pastry</t>
  </si>
  <si>
    <t>RT Pastry Holdings Berhad</t>
  </si>
  <si>
    <t>Banh Mi Cafe</t>
  </si>
  <si>
    <t>Banh Mi Cafe Sdn Bhd</t>
  </si>
  <si>
    <t>The Ice Cream Bar</t>
  </si>
  <si>
    <t>Ice Cream Bar (Sri Hartamas) Sdn Bhd</t>
  </si>
  <si>
    <t>Kosa Coffee</t>
  </si>
  <si>
    <t>BRILIONJAYA SDN. BHD.</t>
  </si>
  <si>
    <t>Chilli Pan Mee</t>
  </si>
  <si>
    <t>Refined Prestige Sdn Bhd</t>
  </si>
  <si>
    <t>Nasi Lemak Bamboo</t>
  </si>
  <si>
    <t>Success Holdings</t>
  </si>
  <si>
    <t>Sabah Chilli Pan Mee</t>
  </si>
  <si>
    <t>The Soybean Factory</t>
  </si>
  <si>
    <t>Soybean Factory Production Sdn Bhd</t>
  </si>
  <si>
    <t>Foo Fee</t>
  </si>
  <si>
    <t>Ah Muk Cha Chaan Teng</t>
  </si>
  <si>
    <t>Chou Chou Chicken</t>
  </si>
  <si>
    <t>WHOBUNGAN SEPADU SDN BHD</t>
  </si>
  <si>
    <t>Jaslyn Cakes</t>
  </si>
  <si>
    <t>Jaslyn Cakes Sdn Bhd</t>
  </si>
  <si>
    <t>Naughty Babe Dirty Duck</t>
  </si>
  <si>
    <t>Eatalia by Brava</t>
  </si>
  <si>
    <t>?Vivente Sdn. Bhd.?</t>
  </si>
  <si>
    <t>Limone</t>
  </si>
  <si>
    <t>Menya Hanabi</t>
  </si>
  <si>
    <t>Dekori</t>
  </si>
  <si>
    <t>Awagyu</t>
  </si>
  <si>
    <t>AWAGYU SDN. BHD.?</t>
  </si>
  <si>
    <t>Super Dining</t>
  </si>
  <si>
    <t>?Super Dining Sdn Bhd?</t>
  </si>
  <si>
    <t>INNBar</t>
  </si>
  <si>
    <t>Mr Wu</t>
  </si>
  <si>
    <t>Yu Shan F&amp;B Consulting Sdn Bhd</t>
  </si>
  <si>
    <t>Oh Tea</t>
  </si>
  <si>
    <t>Hometown Hainan Coffee</t>
  </si>
  <si>
    <t>HOMETOWN F&amp;B (M) SDN BHD</t>
  </si>
  <si>
    <t>The Sky Dining</t>
  </si>
  <si>
    <t>Two Chef Lab</t>
  </si>
  <si>
    <t>7 Village Noodle House</t>
  </si>
  <si>
    <t>SEVEN VILLAGE LIN RESTAURANT SDN BHD</t>
  </si>
  <si>
    <t>Tai Ho Jiak</t>
  </si>
  <si>
    <t>TAIHOJIAK SDN BHD</t>
  </si>
  <si>
    <t>Aison Bakery</t>
  </si>
  <si>
    <t>ELK Kopitiam</t>
  </si>
  <si>
    <t>Sun Thai Food</t>
  </si>
  <si>
    <t>Sun Thai Food Restaurant</t>
  </si>
  <si>
    <t>Ah Yip Herbal Soup</t>
  </si>
  <si>
    <t>Tuck Sang Holdings Sdn. Bhd.</t>
  </si>
  <si>
    <t>Black Horse</t>
  </si>
  <si>
    <t>HWC Coffee</t>
  </si>
  <si>
    <t>Palaterium Sdn Bhd</t>
  </si>
  <si>
    <t>Little Oven Bakery</t>
  </si>
  <si>
    <t>TK Bakery</t>
  </si>
  <si>
    <t>TK BAKERY (RETAIL) SDN. BHD.</t>
  </si>
  <si>
    <t>Xi Mending Braised Pork Rice</t>
  </si>
  <si>
    <t>CLASSIC PRODUCTION MANAGEMENT GROUP SDN. BHD</t>
  </si>
  <si>
    <t>Fusionist Eatery</t>
  </si>
  <si>
    <t>San Francisso Coffee</t>
  </si>
  <si>
    <t>San Francisco Coffee Sdn Bhd?</t>
  </si>
  <si>
    <t>Hock Kee Group</t>
  </si>
  <si>
    <t>Hock Kee Kopitiam</t>
  </si>
  <si>
    <t>Kishi Yakiniku</t>
  </si>
  <si>
    <t>Sugirl Desserts</t>
  </si>
  <si>
    <t>Sugirl Group Sdn Bhd</t>
  </si>
  <si>
    <t>Yamesushi</t>
  </si>
  <si>
    <t>Yamesushi Express Sdn Bhd</t>
  </si>
  <si>
    <t>Bonappe</t>
  </si>
  <si>
    <t>Bosko</t>
  </si>
  <si>
    <t>Granite</t>
  </si>
  <si>
    <t>Born Butcher</t>
  </si>
  <si>
    <t>Born Butcher?Sdn Bhd</t>
  </si>
  <si>
    <t>Cowboy Barbecue &amp; Grill</t>
  </si>
  <si>
    <t>Lookoo</t>
  </si>
  <si>
    <t>House Of Pok</t>
  </si>
  <si>
    <t>OASIS CK SDN BHD</t>
  </si>
  <si>
    <t>Sanzaru Izakaya</t>
  </si>
  <si>
    <t>Face to Face Noodle House</t>
  </si>
  <si>
    <t>F2F Sdn. Bhd</t>
  </si>
  <si>
    <t>Fujiyama Japanese Restaurant</t>
  </si>
  <si>
    <t>Nusantara Pizza</t>
  </si>
  <si>
    <t>Mr Thai Street Food</t>
  </si>
  <si>
    <t>Black Canyon</t>
  </si>
  <si>
    <t>B-Canyon (M) Sdn Bhd</t>
  </si>
  <si>
    <t>Kays Steak &amp; Lobster</t>
  </si>
  <si>
    <t>Kaysteaklobster Sdn. Bhd.</t>
  </si>
  <si>
    <t>Jardin Coffee</t>
  </si>
  <si>
    <t>WESB Management Sdn. Bhd.</t>
  </si>
  <si>
    <t>Robataya Izakaya</t>
  </si>
  <si>
    <t>Bhai Jim Jum</t>
  </si>
  <si>
    <t>2 Sister</t>
  </si>
  <si>
    <t>?2 Sisters Cafe.</t>
  </si>
  <si>
    <t>D'Shanghai Dim Sum</t>
  </si>
  <si>
    <t>JinMan Restaurant</t>
  </si>
  <si>
    <t>Jin Man Restaurant Sdn Bhd</t>
  </si>
  <si>
    <t>A'decade Group</t>
  </si>
  <si>
    <t>Leekor Leekor</t>
  </si>
  <si>
    <t>momoyo</t>
  </si>
  <si>
    <t>Chez Chout</t>
  </si>
  <si>
    <t>Chez Choux (M) Sdn. Bhd.</t>
  </si>
  <si>
    <t>Bubur Nasi Melawati</t>
  </si>
  <si>
    <t>Wong Kok Char Chan</t>
  </si>
  <si>
    <t>YING-PLUS VENTURES SDN. BHD</t>
  </si>
  <si>
    <t>Jipinhe Scones</t>
  </si>
  <si>
    <t>Jipinhe Scones (MY) Sdn Bhd</t>
  </si>
  <si>
    <t>Auntea Jenny</t>
  </si>
  <si>
    <t>Bibi Popia Ipoh</t>
  </si>
  <si>
    <t>Bibi¡¯s Popiah Sdn Bhd</t>
  </si>
  <si>
    <t>Ben's Cookies</t>
  </si>
  <si>
    <t>Caffeiness</t>
  </si>
  <si>
    <t>Day One Day One</t>
  </si>
  <si>
    <t>DAY ONE RESTAURANT SDN. BHD</t>
  </si>
  <si>
    <t>Helo Moo</t>
  </si>
  <si>
    <t>HELOMOO SDN. BHD.</t>
  </si>
  <si>
    <t>Poison Apple</t>
  </si>
  <si>
    <t>Poison Apple Sdn Bhd</t>
  </si>
  <si>
    <t>Potato Corner</t>
  </si>
  <si>
    <t>VCR</t>
  </si>
  <si>
    <t>VCR PLT.</t>
  </si>
  <si>
    <t>Latifrizal Baharein (Tape)</t>
  </si>
  <si>
    <t>latif@vcr.my</t>
  </si>
  <si>
    <t>+6011-11239773</t>
  </si>
  <si>
    <t>2 Jalan Galloway</t>
  </si>
  <si>
    <t>Kuala Lumpur</t>
  </si>
  <si>
    <t>MALAYSIA</t>
  </si>
  <si>
    <t>Sisters Kitchen</t>
  </si>
  <si>
    <t>Sisters Crispy Popiah (M) Sdn Bhd</t>
  </si>
  <si>
    <t>Rollti</t>
  </si>
  <si>
    <t>IWealth Global F&amp;B Sdn. Bhd.</t>
  </si>
  <si>
    <t>White Sand</t>
  </si>
  <si>
    <t>Goobne</t>
  </si>
  <si>
    <t>Goobne Sdn. Bhd.</t>
  </si>
  <si>
    <t>Beutea</t>
  </si>
  <si>
    <t xml:space="preserve"> BEUTEA HOLDING SDN. BHD.</t>
  </si>
  <si>
    <t>Bread History</t>
  </si>
  <si>
    <t>Bread History Sdn. Bhd.</t>
  </si>
  <si>
    <t>Oh My Belly</t>
  </si>
  <si>
    <t>House Of Wheat</t>
  </si>
  <si>
    <t>House Of Wheat Sdn Bhd</t>
  </si>
  <si>
    <t>Shihlin Taiwan Street Snacks</t>
  </si>
  <si>
    <t>Hot Pot Kitchen</t>
  </si>
  <si>
    <t>10 Gram</t>
  </si>
  <si>
    <t>Glaze Eatery</t>
  </si>
  <si>
    <t xml:space="preserve">Bings </t>
  </si>
  <si>
    <t>BarbaBros &amp; Cuz</t>
  </si>
  <si>
    <t>The Botanist</t>
  </si>
  <si>
    <t>Padi House</t>
  </si>
  <si>
    <t xml:space="preserve">Padi House Holdings Sdn. Bhd </t>
  </si>
  <si>
    <t>Texas BBQ Barn</t>
  </si>
  <si>
    <t>Invictus Mart Sdn Bhd</t>
  </si>
  <si>
    <t>D'sara Fried Chicken</t>
  </si>
  <si>
    <t>DFC Global Sdn. Bhd.</t>
  </si>
  <si>
    <t>Gula Cakery</t>
  </si>
  <si>
    <t>GULA CAKERY GROUP SDN BHD</t>
  </si>
  <si>
    <t>The Komunal</t>
  </si>
  <si>
    <t>THE KOMUNAL SDN. BHD</t>
  </si>
  <si>
    <t>Sangkaya</t>
  </si>
  <si>
    <t>SANGKAYA (M) SDN BHD</t>
  </si>
  <si>
    <t>He &amp; She Coffee</t>
  </si>
  <si>
    <t>He &amp; She Coffee Sdn Bhd</t>
  </si>
  <si>
    <t>Talk Crab</t>
  </si>
  <si>
    <t>Richmor</t>
  </si>
  <si>
    <t>The Baker Cottage</t>
  </si>
  <si>
    <t>The Baker's Cottage Sdn. Bhd.</t>
  </si>
  <si>
    <t>Ayam Gepuk Pak Gembus</t>
  </si>
  <si>
    <t>Super Saigon</t>
  </si>
  <si>
    <t>Super Saigon Cafe Sdn Bhd</t>
  </si>
  <si>
    <t>Daniel</t>
  </si>
  <si>
    <t>+60 16-368 8682</t>
  </si>
  <si>
    <t>Bukuh</t>
  </si>
  <si>
    <t>Bukuh KL Kitchen Sdn. Bhd.</t>
  </si>
  <si>
    <t>Oh Cha Matcha</t>
  </si>
  <si>
    <t>OCMC Ventures</t>
  </si>
  <si>
    <t>Farmers Bar</t>
  </si>
  <si>
    <t>Chicken By Won</t>
  </si>
  <si>
    <t>Three Plates Full</t>
  </si>
  <si>
    <t>Nam Heong</t>
  </si>
  <si>
    <t>Four Beans Soy Dessert</t>
  </si>
  <si>
    <t>Each a Cup</t>
  </si>
  <si>
    <t>Sushi Zen</t>
  </si>
  <si>
    <t>Bing Shifu</t>
  </si>
  <si>
    <t>Brew 9</t>
  </si>
  <si>
    <t>Brew 9 Enterprise</t>
  </si>
  <si>
    <t>Papa Fry</t>
  </si>
  <si>
    <t>PAPAFRY SDN BHD</t>
  </si>
  <si>
    <t>Little Tea &amp; Bakery</t>
  </si>
  <si>
    <t>Healy Mac's</t>
  </si>
  <si>
    <t>Soul Society</t>
  </si>
  <si>
    <t>La Boca</t>
  </si>
  <si>
    <t>Din Tai Fung</t>
  </si>
  <si>
    <t>FC CLUB SDN BHD</t>
  </si>
  <si>
    <t>Tedboy Bakery</t>
  </si>
  <si>
    <t>UNIQBE BAKERY SDN. BHD.</t>
  </si>
  <si>
    <t>Edward</t>
  </si>
  <si>
    <t>+60 19-271 9932</t>
  </si>
  <si>
    <t>Kampachi</t>
  </si>
  <si>
    <t>Kampachi Restaurants Sdn Bhd</t>
  </si>
  <si>
    <t>Dark Horse</t>
  </si>
  <si>
    <t>AMX Hospitality Sdn Bhd.</t>
  </si>
  <si>
    <t>Bavarian Bierhaus</t>
  </si>
  <si>
    <t>Oribe Sushi</t>
  </si>
  <si>
    <t xml:space="preserve"> ORIBE CREATIVE DINING</t>
  </si>
  <si>
    <t>ILLY Caffe'</t>
  </si>
  <si>
    <t>Cedro Sdn Bhd</t>
  </si>
  <si>
    <t>Quivo</t>
  </si>
  <si>
    <t>O'Galito</t>
  </si>
  <si>
    <t>Harriston Chocolate</t>
  </si>
  <si>
    <t>Capitol Cafe</t>
  </si>
  <si>
    <t>Capitol Cafe Sdn Bhd</t>
  </si>
  <si>
    <t>Lazeez</t>
  </si>
  <si>
    <t>Yakiniku Great</t>
  </si>
  <si>
    <t>Yewniverse Hospitality Group Sdn. Bhd.</t>
  </si>
  <si>
    <t>Yew Kok Yao</t>
  </si>
  <si>
    <t>kokyaoyew@gmail.com</t>
  </si>
  <si>
    <t>011-11775888</t>
  </si>
  <si>
    <t>G.02-01, The Republik, Jalan Medan Setia 1, Bukit Damansara, 50490 Kuala Lumpur, Kuala Lumpur</t>
  </si>
  <si>
    <t>Eggcellence Waffle</t>
  </si>
  <si>
    <t>Damascus</t>
  </si>
  <si>
    <t xml:space="preserve">Golden Damascus Diversifies Sdn. Bhd. </t>
  </si>
  <si>
    <t>Kunafa Crisp</t>
  </si>
  <si>
    <t>A&amp;K Pacific Sunrise Sdn Bhd</t>
  </si>
  <si>
    <t>Pasadena Burger</t>
  </si>
  <si>
    <t>Lol Soon Kee Dessert</t>
  </si>
  <si>
    <t>Saudi Burger</t>
  </si>
  <si>
    <t>Saudi Burger Holdings Sdn Bhd</t>
  </si>
  <si>
    <t>Mc Qanteens Tearoom</t>
  </si>
  <si>
    <t>Hookie Dookie</t>
  </si>
  <si>
    <t>Ben Gong's Tea</t>
  </si>
  <si>
    <t>Marta's Kitchen</t>
  </si>
  <si>
    <t>Betawi</t>
  </si>
  <si>
    <t>Yogurt Planet</t>
  </si>
  <si>
    <t>Ken Chan Curry</t>
  </si>
  <si>
    <t>Ken Foods Kitchen Management Sdn. Bhd</t>
  </si>
  <si>
    <t>Steamfun</t>
  </si>
  <si>
    <t>Garage 51</t>
  </si>
  <si>
    <t>Cafe 51 Ventures</t>
  </si>
  <si>
    <t>BHC Chicken</t>
  </si>
  <si>
    <t>Daily Edibles Sdn Bhd</t>
  </si>
  <si>
    <t>Alvin Gan</t>
  </si>
  <si>
    <t>alvingan@sunsuria.com</t>
  </si>
  <si>
    <t>+60 12-313 5312</t>
  </si>
  <si>
    <t>Suite 8, Main Tower, Sunsuria Avenue, Persiaran Mahogani, Kota Damansara, PJU 5, 47810 Petaling Jaya, Selangor, Malaysia.</t>
  </si>
  <si>
    <t>Selangor</t>
  </si>
  <si>
    <t>Chendul</t>
  </si>
  <si>
    <t>DESSERT CAPTAIN SDN. BHD.</t>
  </si>
  <si>
    <t>Siti Khadijah</t>
  </si>
  <si>
    <t>?SITI KHADIJAH APPAREL SDN. BHD</t>
  </si>
  <si>
    <t>Cornbro</t>
  </si>
  <si>
    <t>Eat Pizza</t>
  </si>
  <si>
    <t>Kantan</t>
  </si>
  <si>
    <t>Four and Son's</t>
  </si>
  <si>
    <t>Tsuka</t>
  </si>
  <si>
    <t>Khan's</t>
  </si>
  <si>
    <t>Khan's Indian Cuisine Sdn Bhd.</t>
  </si>
  <si>
    <t>Big Leaf BLR</t>
  </si>
  <si>
    <t>Shawarma Go</t>
  </si>
  <si>
    <t>Dapur Mama</t>
  </si>
  <si>
    <t>Tiga Budak Gemuk</t>
  </si>
  <si>
    <t>TIGA BUDAK GEMOK SDN. BHD</t>
  </si>
  <si>
    <t>Kopi Oh Kaw</t>
  </si>
  <si>
    <t>Kars</t>
  </si>
  <si>
    <t>KARS Fine Meat &amp; Steak</t>
  </si>
  <si>
    <t xml:space="preserve"> Q Bistro </t>
  </si>
  <si>
    <t xml:space="preserve"> Hajris Holdings Sdn Bhd </t>
  </si>
  <si>
    <t xml:space="preserve"> Encore Cafe </t>
  </si>
  <si>
    <t xml:space="preserve"> Momochi  </t>
  </si>
  <si>
    <t xml:space="preserve"> Chunky </t>
  </si>
  <si>
    <t xml:space="preserve"> Bold Burger Crispy Chicken </t>
  </si>
  <si>
    <t>Kakatoo</t>
  </si>
  <si>
    <t>LJP Kitchen Sdn Bhd</t>
  </si>
  <si>
    <t xml:space="preserve"> Goobne </t>
  </si>
  <si>
    <t xml:space="preserve"> Asia Mart </t>
  </si>
  <si>
    <t xml:space="preserve"> Churros Plus </t>
  </si>
  <si>
    <t xml:space="preserve"> Cornery FNB Sdn Bhd </t>
  </si>
  <si>
    <t xml:space="preserve"> Ling Ling Long Long Gastrobar </t>
  </si>
  <si>
    <t xml:space="preserve"> CDC KL Sdn Bhd </t>
  </si>
  <si>
    <t xml:space="preserve"> Kissy Fish </t>
  </si>
  <si>
    <t xml:space="preserve"> Vintage Dynasty Group Sdn Bhd </t>
  </si>
  <si>
    <t xml:space="preserve"> SuperNomms Fried Chicken </t>
  </si>
  <si>
    <t xml:space="preserve"> Nomms Sdn Bhd </t>
  </si>
  <si>
    <t>4Fingers Crispy Chicken</t>
  </si>
  <si>
    <t>4Fingers Pte Ltd</t>
  </si>
  <si>
    <t>June Lee</t>
  </si>
  <si>
    <t>june@4fingers.com</t>
  </si>
  <si>
    <t>+65 9799 2439</t>
  </si>
  <si>
    <t>Singapore Post Centre 10 Eunos Road 8 #05-07</t>
  </si>
  <si>
    <t>SINGAPORE</t>
  </si>
  <si>
    <t>DRA</t>
  </si>
  <si>
    <t>CorBlimey</t>
  </si>
  <si>
    <t>Corblimey ( SUBANG JAYA ) SDN BHD</t>
  </si>
  <si>
    <t>KHAFIZ</t>
  </si>
  <si>
    <t xml:space="preserve">Ahmad Fried Chicken </t>
  </si>
  <si>
    <t xml:space="preserve">Ahmad Fried CHicken (M) SDN BHD </t>
  </si>
  <si>
    <t xml:space="preserve">Rendezvous Steak House </t>
  </si>
  <si>
    <t xml:space="preserve">Rendevous Steak Garden Sdn Bhd </t>
  </si>
  <si>
    <t xml:space="preserve">Sate Haji Samuri </t>
  </si>
  <si>
    <t xml:space="preserve">Haji Samuri &amp; Anak - Anak Enterprise Sdn Bhd </t>
  </si>
  <si>
    <t>Karaa Saraam</t>
  </si>
  <si>
    <t>Sate Hut</t>
  </si>
  <si>
    <t xml:space="preserve">House Of Kambing </t>
  </si>
  <si>
    <t xml:space="preserve">Sushi Zanmai </t>
  </si>
  <si>
    <t xml:space="preserve">Oriental Kopi </t>
  </si>
  <si>
    <t>Sushi King</t>
  </si>
  <si>
    <t xml:space="preserve">Two Sons </t>
  </si>
  <si>
    <t xml:space="preserve">Social </t>
  </si>
  <si>
    <t>Baan 26</t>
  </si>
  <si>
    <t>Kampung Lah</t>
  </si>
  <si>
    <t xml:space="preserve">Hidang KL </t>
  </si>
  <si>
    <t xml:space="preserve">Chicago chicken </t>
  </si>
  <si>
    <t xml:space="preserve">TC Chocolate Gallery </t>
  </si>
  <si>
    <t>Hallaway</t>
  </si>
  <si>
    <t>Timeless Hall SB</t>
  </si>
  <si>
    <t>Caywin</t>
  </si>
  <si>
    <t>timeless.caywin@gmail.com</t>
  </si>
  <si>
    <t>+60 16-268 9490</t>
  </si>
  <si>
    <t xml:space="preserve">Level 13, Wisma Trax, No. 1, Jalan Lima, Jalan Chan Sow Lin, 55200 Kuala Lumpur. </t>
  </si>
  <si>
    <t>OHO Thai Mookata &amp; Bar</t>
  </si>
  <si>
    <t>Farmer and Chef Hotpot</t>
  </si>
  <si>
    <t>Ayam Gepuk Hut</t>
  </si>
  <si>
    <t>Azlan</t>
  </si>
  <si>
    <t>+60 10-766 0497</t>
  </si>
  <si>
    <t>Samudra Food</t>
  </si>
  <si>
    <t>Huasin Food Manufacturing SB</t>
  </si>
  <si>
    <t>Sam</t>
  </si>
  <si>
    <t>+60 12-328 3307</t>
  </si>
  <si>
    <t>No.26, Jalan KPK 1/1, Kawasan Perindustrian Kundang Jaya, 48020 Rawang, Selangor.</t>
  </si>
  <si>
    <t>Big Onion Catering</t>
  </si>
  <si>
    <t>Louise</t>
  </si>
  <si>
    <t>events@bigonioncaterer.com.my</t>
  </si>
  <si>
    <t>+60 12-223 6748</t>
  </si>
  <si>
    <t>Kluang Rail Coffee</t>
  </si>
  <si>
    <t>Ben</t>
  </si>
  <si>
    <t>+60 12-282 2092</t>
  </si>
  <si>
    <t>Johor</t>
  </si>
  <si>
    <t xml:space="preserve">Mama Lee Nasi Lemak </t>
  </si>
  <si>
    <t>+6016-918 1652</t>
  </si>
  <si>
    <t xml:space="preserve">Strawberry Fields </t>
  </si>
  <si>
    <t xml:space="preserve">Grumpy Bagels </t>
  </si>
  <si>
    <t>hi@grumpybagels.com</t>
  </si>
  <si>
    <t>Arest</t>
  </si>
  <si>
    <t>arestsdnbhd@gmail.com</t>
  </si>
  <si>
    <t>Woodfire</t>
  </si>
  <si>
    <t>marketing@woodfire.com</t>
  </si>
  <si>
    <t>+6016-325 5283</t>
  </si>
  <si>
    <t xml:space="preserve">The Foxhole </t>
  </si>
  <si>
    <t>thefoxholesubang@gmail.com</t>
  </si>
  <si>
    <t>Wartek</t>
  </si>
  <si>
    <t>6019-993 123</t>
  </si>
  <si>
    <t xml:space="preserve">Lontong &amp; Co </t>
  </si>
  <si>
    <t>inaharyanidaud@gmail.com</t>
  </si>
  <si>
    <t xml:space="preserve">Closer Kitchen &amp; Esspreso Bar </t>
  </si>
  <si>
    <t>projectmuse.closer@gmail.com</t>
  </si>
  <si>
    <t xml:space="preserve">Coffee Boy </t>
  </si>
  <si>
    <t>Locca Cafe</t>
  </si>
  <si>
    <t>Embun Pagi Mangement  Sdn Bhd</t>
  </si>
  <si>
    <t>Alif Aiman</t>
  </si>
  <si>
    <t>epagism@gmail.com</t>
  </si>
  <si>
    <t>Director</t>
  </si>
  <si>
    <t>017-4799178</t>
  </si>
  <si>
    <t xml:space="preserve">Global Coffee Resource </t>
  </si>
  <si>
    <t xml:space="preserve">Tian </t>
  </si>
  <si>
    <t>Pirates Takoyaki</t>
  </si>
  <si>
    <t>Haos Ek</t>
  </si>
  <si>
    <t>Thai Bistro (Jatujak)</t>
  </si>
  <si>
    <t xml:space="preserve">Bask Bear </t>
  </si>
  <si>
    <t>askhr@loob.com.my</t>
  </si>
  <si>
    <t>018-7788860</t>
  </si>
  <si>
    <t xml:space="preserve">Planet Nasi Kukus </t>
  </si>
  <si>
    <t>Ayam Gepuk Boss</t>
  </si>
  <si>
    <t>016-9939887</t>
  </si>
  <si>
    <t>My Ayam Ketuk</t>
  </si>
  <si>
    <t>013-2367364</t>
  </si>
  <si>
    <t>Belike</t>
  </si>
  <si>
    <t>Yvonne</t>
  </si>
  <si>
    <t>012-7177808</t>
  </si>
  <si>
    <t>Asia Pacific University</t>
  </si>
  <si>
    <t>Lao Tao Ke</t>
  </si>
  <si>
    <t>Nini</t>
  </si>
  <si>
    <t>014-3610937</t>
  </si>
  <si>
    <t>Syarikat Kopi Kok</t>
  </si>
  <si>
    <t>Kok Jit Kiang</t>
  </si>
  <si>
    <t>012-4991601</t>
  </si>
  <si>
    <t>Sate Zul</t>
  </si>
  <si>
    <t xml:space="preserve">Farah </t>
  </si>
  <si>
    <t>010-2102075</t>
  </si>
  <si>
    <t>Penang Cendul</t>
  </si>
  <si>
    <t>Hamizah</t>
  </si>
  <si>
    <t>017-7917154</t>
  </si>
  <si>
    <t>Ayam Pak Sheikh</t>
  </si>
  <si>
    <t>Ayam Pak Sheikh Sdn Bhd</t>
  </si>
  <si>
    <t>Zarif</t>
  </si>
  <si>
    <t>zharifashiq2710@gmail.com</t>
  </si>
  <si>
    <t>Business Development</t>
  </si>
  <si>
    <t>016-5333594</t>
  </si>
  <si>
    <t>Ayam Gepuk Pak Gendut</t>
  </si>
  <si>
    <t>Ayam Gepuk Pak Gendut (AGPG) Sdn Bhd</t>
  </si>
  <si>
    <t>Ahmad Azim</t>
  </si>
  <si>
    <t>ayamgepukpakgenduthq@gmail.com</t>
  </si>
  <si>
    <t>013-2509054</t>
  </si>
  <si>
    <t>Kyochon</t>
  </si>
  <si>
    <t>Kyochon Sdn Bhd</t>
  </si>
  <si>
    <t>Kim Gyutae (Teddy)</t>
  </si>
  <si>
    <t>gyutae.kim@kyochon.com.my</t>
  </si>
  <si>
    <t>012-4273116</t>
  </si>
  <si>
    <t>No. 9, Jalan TPP 1/4, Taman Perindustrian Puchong, 47100 Puchong, Selangor</t>
  </si>
  <si>
    <t>Sugar Bun</t>
  </si>
  <si>
    <t>SB Supplies &amp; Logistics Sdn Bhd</t>
  </si>
  <si>
    <t>Cathy Ting</t>
  </si>
  <si>
    <t>cat200kt@gmail.com</t>
  </si>
  <si>
    <t>016-8300016</t>
  </si>
  <si>
    <t>2nd FLoor, Wisma Sugarbun, Lot 180, Sect. 19 KTLD, Jalan Satok, 934000 Kuching, Sarawak, East Malaysia</t>
  </si>
  <si>
    <t>Sarawak</t>
  </si>
  <si>
    <t>Black Bixon</t>
  </si>
  <si>
    <t>Ni Hsin Food &amp; Beverages Sdn Bhd</t>
  </si>
  <si>
    <t>Jessly Pak</t>
  </si>
  <si>
    <t>jessly@blackbixon.com</t>
  </si>
  <si>
    <t>016-32878888</t>
  </si>
  <si>
    <t>47, Jalan Taming Dua, Taman Taming Jaya, 43300 Seri Kembangan, Selangor, Malaysia.</t>
  </si>
  <si>
    <t>Abang Adik Kopitiam</t>
  </si>
  <si>
    <t>Kevin</t>
  </si>
  <si>
    <t>chensan1912@gmail.com</t>
  </si>
  <si>
    <t>+60 13-658 5555</t>
  </si>
  <si>
    <t xml:space="preserve">I-G-7, Block I, Pusat Komersial Parklane, Jalan SS7/26, Kelana Jaya, 47301 Petaling Jaya, Selangor. </t>
  </si>
  <si>
    <t>Ippudo</t>
  </si>
  <si>
    <t>IRR Sdn Bhd</t>
  </si>
  <si>
    <t>Absolute Thai</t>
  </si>
  <si>
    <t>Absolute Thai Sdn. Bhd.</t>
  </si>
  <si>
    <t>TL Culture Management Group</t>
  </si>
  <si>
    <t>Johnny's Restaurant</t>
  </si>
  <si>
    <t>Dynasun Sdn Bhd.</t>
  </si>
  <si>
    <t>Tim Hortons</t>
  </si>
  <si>
    <t>MGCA Cafe MY Sdn. Bhd.</t>
  </si>
  <si>
    <t>Fish &amp; Co.</t>
  </si>
  <si>
    <t>Park's Bagel</t>
  </si>
  <si>
    <t>PJG Holdings Sdn Bhd</t>
  </si>
  <si>
    <t>Wayie</t>
  </si>
  <si>
    <t>wawaimohamad95@gmail.com</t>
  </si>
  <si>
    <t>Manager</t>
  </si>
  <si>
    <t>017-6508557</t>
  </si>
  <si>
    <t xml:space="preserve">Milk And Barley </t>
  </si>
  <si>
    <t xml:space="preserve">Kopi Saigon </t>
  </si>
  <si>
    <t>Seruni Global</t>
  </si>
  <si>
    <t>Faiz Mohamad</t>
  </si>
  <si>
    <t>faiz@kopisaigon.com</t>
  </si>
  <si>
    <t>Creative Director</t>
  </si>
  <si>
    <t>019-2458256</t>
  </si>
  <si>
    <t>Ayam Gepuk Papa Jon</t>
  </si>
  <si>
    <t>Cedana Jaya Enterprise</t>
  </si>
  <si>
    <t>Afiq</t>
  </si>
  <si>
    <t>afiqhaire@ayamgepukpapajon.com</t>
  </si>
  <si>
    <t>Investor Relation</t>
  </si>
  <si>
    <t>011-37964882</t>
  </si>
  <si>
    <t xml:space="preserve">Luna Luna </t>
  </si>
  <si>
    <t xml:space="preserve">Tsujuki Sushi </t>
  </si>
  <si>
    <t>Slim Chicken</t>
  </si>
  <si>
    <t>Slim Foods Malaysia Sdn Bhd</t>
  </si>
  <si>
    <t>Kanaga</t>
  </si>
  <si>
    <t>Pak John Steamboat</t>
  </si>
  <si>
    <t>Pak John Food Sdn Bhd</t>
  </si>
  <si>
    <t>Anuwar</t>
  </si>
  <si>
    <t>pj_tgm@pakjohn.com</t>
  </si>
  <si>
    <t>018-3863139</t>
  </si>
  <si>
    <t>Ticco Malaysia</t>
  </si>
  <si>
    <t>Ticco International Sdn Bhd</t>
  </si>
  <si>
    <t>Calvin Voo</t>
  </si>
  <si>
    <t>019-8336861</t>
  </si>
  <si>
    <t>Kim Yong Gee (HK Signature Beef Noodle)</t>
  </si>
  <si>
    <t>Sheung Wan Foodie Sdn Bhd</t>
  </si>
  <si>
    <t>Thin</t>
  </si>
  <si>
    <t>012-6397293</t>
  </si>
  <si>
    <t>Rasa Nostra Coffee</t>
  </si>
  <si>
    <t>Rasa Nostra Coffee Sdn Bhd</t>
  </si>
  <si>
    <t>Ira</t>
  </si>
  <si>
    <t>rasanostracoffee@gmail.com</t>
  </si>
  <si>
    <t xml:space="preserve">Ayam Gepuk Legacy </t>
  </si>
  <si>
    <t>TY Food</t>
  </si>
  <si>
    <t>Thong Siek Global</t>
  </si>
  <si>
    <t>Dodo Seafood Treats Malaysia</t>
  </si>
  <si>
    <t xml:space="preserve">Sun Thai Food </t>
  </si>
  <si>
    <t>Sun Thai Food Sdn Bhd</t>
  </si>
  <si>
    <t xml:space="preserve">Syabil </t>
  </si>
  <si>
    <t>Head Chef</t>
  </si>
  <si>
    <t>013-5767265</t>
  </si>
  <si>
    <t>Palo By Sun Thai Food</t>
  </si>
  <si>
    <t xml:space="preserve">Parathai </t>
  </si>
  <si>
    <t xml:space="preserve">Kung Fu Paradise Sdb Bhd </t>
  </si>
  <si>
    <t>03-97701511</t>
  </si>
  <si>
    <t xml:space="preserve">Lynn's Catering </t>
  </si>
  <si>
    <t>Lynn's Cafe And Catering Sdn Bhd</t>
  </si>
  <si>
    <t>Alice</t>
  </si>
  <si>
    <t>alice@lynnscatering.my.com</t>
  </si>
  <si>
    <t>Operation &amp; Business development Manager</t>
  </si>
  <si>
    <t>012-2861917</t>
  </si>
  <si>
    <t>De oratore Sdn Bhd</t>
  </si>
  <si>
    <t>Imran</t>
  </si>
  <si>
    <t>012-5521052</t>
  </si>
  <si>
    <t>Zui De Yi</t>
  </si>
  <si>
    <t xml:space="preserve">Santan </t>
  </si>
  <si>
    <t>Santan Food Services Sdn. Bhd</t>
  </si>
  <si>
    <t>Krispy Kreme</t>
  </si>
  <si>
    <t>Berjaya Krispy Kreme Doughnuts Sdn Bhd.</t>
  </si>
  <si>
    <t>Nadia
Jessica</t>
  </si>
  <si>
    <t>nadia.adilla@krispykreme.com.my
jessica.chooi@krispykreme.com.my</t>
  </si>
  <si>
    <t>Procurement
Finance</t>
  </si>
  <si>
    <t>Ayam Gepuk Express</t>
  </si>
  <si>
    <t>admin@ayamgepukexpress.c0m.my</t>
  </si>
  <si>
    <t>018-2127007</t>
  </si>
  <si>
    <t>Ayam Gepuk Ori Selayang</t>
  </si>
  <si>
    <t>ayamgepukselayang@gmail.com</t>
  </si>
  <si>
    <t>011-64090776</t>
  </si>
  <si>
    <t xml:space="preserve">Ayam Gepuk Tok Mat </t>
  </si>
  <si>
    <t>Irqim</t>
  </si>
  <si>
    <t>sales@ayamgepuktokmat.com</t>
  </si>
  <si>
    <t xml:space="preserve">Managing Director </t>
  </si>
  <si>
    <t>017-2612113</t>
  </si>
  <si>
    <t>Ayam Gepuk Pak Raden</t>
  </si>
  <si>
    <t>pakradenselangor@gmail.com</t>
  </si>
  <si>
    <t>013-2560689</t>
  </si>
  <si>
    <t>Daily Bekal</t>
  </si>
  <si>
    <t>Daily Bekal Sdn Bhd</t>
  </si>
  <si>
    <t>Wong Qun Shen</t>
  </si>
  <si>
    <t>60 12-965 2218</t>
  </si>
  <si>
    <t>NSR Alpha</t>
  </si>
  <si>
    <t>NSR Alpha Trading Sdn. Bhd.</t>
  </si>
  <si>
    <t>Osama</t>
  </si>
  <si>
    <t>60 11-1110 0338</t>
  </si>
  <si>
    <t>Orchid Restaurant</t>
  </si>
  <si>
    <t>Anna Norhana Mohd Nor</t>
  </si>
  <si>
    <t>Croutons Cafe by Gourmet Seductions</t>
  </si>
  <si>
    <t>Chef Shain</t>
  </si>
  <si>
    <t>Owner</t>
  </si>
  <si>
    <t>+60 17-213 5233</t>
  </si>
  <si>
    <t>Kopiesatu</t>
  </si>
  <si>
    <t>Pop Meals</t>
  </si>
  <si>
    <t>care@popmeals.com.my</t>
  </si>
  <si>
    <t>Bebek Goreng Pak Ndut</t>
  </si>
  <si>
    <t>Rizki</t>
  </si>
  <si>
    <t>014-7257790</t>
  </si>
  <si>
    <t xml:space="preserve">JP &amp; Co </t>
  </si>
  <si>
    <t>Honor Food Sdn Bhd</t>
  </si>
  <si>
    <t>jpcomarketing@gmail.com</t>
  </si>
  <si>
    <t>012-7985685</t>
  </si>
  <si>
    <t>Pokok</t>
  </si>
  <si>
    <t xml:space="preserve">Brick House Sdn Bhd </t>
  </si>
  <si>
    <t>hello@brickhouse.my</t>
  </si>
  <si>
    <t>017-8779248</t>
  </si>
  <si>
    <t>Warung Europa</t>
  </si>
  <si>
    <t>Golden Tanalin Sdn Bhd</t>
  </si>
  <si>
    <t>warungeuropakl@gmail.com</t>
  </si>
  <si>
    <t>016-7092998</t>
  </si>
  <si>
    <t xml:space="preserve">G'rai Warung </t>
  </si>
  <si>
    <t>GRAI WARUNG SDN BHD</t>
  </si>
  <si>
    <t>management@g-rai.com</t>
  </si>
  <si>
    <t>010-8838728</t>
  </si>
  <si>
    <t xml:space="preserve">Sang Gerai </t>
  </si>
  <si>
    <t>SANG F&amp;B SDN BHD</t>
  </si>
  <si>
    <t>sanggerai.my@gmail.com</t>
  </si>
  <si>
    <t>019-7517556</t>
  </si>
  <si>
    <t xml:space="preserve">A'Decade </t>
  </si>
  <si>
    <t>ADECADE SDN BHD</t>
  </si>
  <si>
    <t>enquiry@adecadegroup.com</t>
  </si>
  <si>
    <t>017-7145436</t>
  </si>
  <si>
    <t xml:space="preserve">Kedai Kopi Suka Hati </t>
  </si>
  <si>
    <t>Abby</t>
  </si>
  <si>
    <t>khy.sukahati@gmail.com</t>
  </si>
  <si>
    <t>Area Manager</t>
  </si>
  <si>
    <t>012-8928957</t>
  </si>
  <si>
    <t>Ayee Southern Thai Fried Chicken</t>
  </si>
  <si>
    <t>DEXRICH AYEE 55 SDN. BHD.</t>
  </si>
  <si>
    <t>Dexter</t>
  </si>
  <si>
    <t>018-9859688</t>
  </si>
  <si>
    <t>Goodness Greens</t>
  </si>
  <si>
    <t xml:space="preserve">Pak Curry </t>
  </si>
  <si>
    <t>Bonchon</t>
  </si>
  <si>
    <t>BC Malaysia Sdn Bhd</t>
  </si>
  <si>
    <t>crunch@bonchon.com.my</t>
  </si>
  <si>
    <t xml:space="preserve">Haima Hainanese &amp; Western Cafe </t>
  </si>
  <si>
    <t>HAIMA HAINANESE &amp; WESTERN CAFE SDN BHD</t>
  </si>
  <si>
    <t>016-2966619</t>
  </si>
  <si>
    <t xml:space="preserve">Ayam Gepuk Pak Ery Jogja </t>
  </si>
  <si>
    <t>Success</t>
  </si>
  <si>
    <t>jpegroupsdnbhd@gmail.com</t>
  </si>
  <si>
    <t>011-28090973</t>
  </si>
  <si>
    <t>Guan's Kopitiam</t>
  </si>
  <si>
    <t xml:space="preserve">Guan Kopitiam SDN BHD </t>
  </si>
  <si>
    <t>guankopitiam.kl@gmail.com</t>
  </si>
  <si>
    <t>012-3676613</t>
  </si>
  <si>
    <t>Nasi Ayam Hainan Damansara</t>
  </si>
  <si>
    <t xml:space="preserve">Nasi Ayam Hainan Damansara Utama </t>
  </si>
  <si>
    <t>012-3569819</t>
  </si>
  <si>
    <t xml:space="preserve">Borenos </t>
  </si>
  <si>
    <t>Borenos Sdn Bhd</t>
  </si>
  <si>
    <t>Nasha</t>
  </si>
  <si>
    <t xml:space="preserve">Outler Manager </t>
  </si>
  <si>
    <t>012-3288586</t>
  </si>
  <si>
    <t xml:space="preserve">Edward Fish And Chips </t>
  </si>
  <si>
    <t xml:space="preserve">Cemerlang F&amp;B Enterprise </t>
  </si>
  <si>
    <t>014-9005818</t>
  </si>
  <si>
    <t xml:space="preserve">Jays Kitchen </t>
  </si>
  <si>
    <t>Jay</t>
  </si>
  <si>
    <t>016-2329193</t>
  </si>
  <si>
    <t>Tanglin</t>
  </si>
  <si>
    <t>Tanglin 1948 Enterprise</t>
  </si>
  <si>
    <t>Alfi</t>
  </si>
  <si>
    <t>Staff Outlet</t>
  </si>
  <si>
    <t>011-21048674</t>
  </si>
  <si>
    <t>Say Yes Cafe</t>
  </si>
  <si>
    <t xml:space="preserve">Rian </t>
  </si>
  <si>
    <t>011-12246192</t>
  </si>
  <si>
    <t>Lokal Malatang</t>
  </si>
  <si>
    <t>Vitoto Sdn Bhd</t>
  </si>
  <si>
    <t>Safa</t>
  </si>
  <si>
    <t xml:space="preserve">Supervisor </t>
  </si>
  <si>
    <t>011-28503328</t>
  </si>
  <si>
    <t xml:space="preserve">Ole Ole Bali </t>
  </si>
  <si>
    <t xml:space="preserve">M&amp;G Fusion Sdn Bhd </t>
  </si>
  <si>
    <t xml:space="preserve">Anne </t>
  </si>
  <si>
    <t>Hr</t>
  </si>
  <si>
    <t>016-6918768</t>
  </si>
  <si>
    <t>Thai Chicken Rice Station</t>
  </si>
  <si>
    <t>Thai Chicken Rice Station Sdn Bhd</t>
  </si>
  <si>
    <t>Wong</t>
  </si>
  <si>
    <t>012-2768791</t>
  </si>
  <si>
    <t>Nyonya Cendol</t>
  </si>
  <si>
    <t>Nyonya Cendol Sdn Bhd</t>
  </si>
  <si>
    <t>Yudi</t>
  </si>
  <si>
    <t xml:space="preserve">My Rasa Nyonya </t>
  </si>
  <si>
    <t>My Rasa Nyonya SDN BHD</t>
  </si>
  <si>
    <t>Syaz</t>
  </si>
  <si>
    <t>010-3838055</t>
  </si>
  <si>
    <t>Big Singh Chappati</t>
  </si>
  <si>
    <t>Big Singh Chappati SDN BHD</t>
  </si>
  <si>
    <t xml:space="preserve">Mona </t>
  </si>
  <si>
    <t>016-2247129</t>
  </si>
  <si>
    <t>Pasta Ohsem &amp; Purple Monkey</t>
  </si>
  <si>
    <t>Hujan Rimba Dessert Sdn Bhd</t>
  </si>
  <si>
    <t>Aisyah</t>
  </si>
  <si>
    <t>Outlet Manager</t>
  </si>
  <si>
    <t>012-9163889</t>
  </si>
  <si>
    <t>Waratek Sdn Bhd</t>
  </si>
  <si>
    <t>Jimmy</t>
  </si>
  <si>
    <t>017-7144711</t>
  </si>
  <si>
    <t>My Pizza Lab</t>
  </si>
  <si>
    <t>MYPIZZA LAB SDN BHD</t>
  </si>
  <si>
    <t>The Voice Club</t>
  </si>
  <si>
    <t>Danny</t>
  </si>
  <si>
    <t>Kind Kones</t>
  </si>
  <si>
    <t>Andriy</t>
  </si>
  <si>
    <t>IT Manager</t>
  </si>
  <si>
    <t>+60 17-685 0071</t>
  </si>
  <si>
    <t>Tous Les Jours</t>
  </si>
  <si>
    <t>Arete Global Venture</t>
  </si>
  <si>
    <t>David</t>
  </si>
  <si>
    <t>+60 11-1670 2838</t>
  </si>
  <si>
    <t>555 Thainanese Chicken Rice</t>
  </si>
  <si>
    <t>Jo</t>
  </si>
  <si>
    <t>+60 10-222 2129</t>
  </si>
  <si>
    <t>Arif</t>
  </si>
  <si>
    <t>016-9200929</t>
  </si>
  <si>
    <t xml:space="preserve">Cong Caphe </t>
  </si>
  <si>
    <t>The Grass</t>
  </si>
  <si>
    <t>Lizzie</t>
  </si>
  <si>
    <t>Chilli's</t>
  </si>
  <si>
    <t>Chilli's Grill &amp; Bar T.A.S Leisure Sdn Bhd</t>
  </si>
  <si>
    <t>Shalendra</t>
  </si>
  <si>
    <t xml:space="preserve">Outlet Manager </t>
  </si>
  <si>
    <t xml:space="preserve">Mee Hiris China Muslim </t>
  </si>
  <si>
    <t>Fairuz</t>
  </si>
  <si>
    <t xml:space="preserve">Area Manager </t>
  </si>
  <si>
    <t>012-3123208</t>
  </si>
  <si>
    <t>Nasken Coffee</t>
  </si>
  <si>
    <t xml:space="preserve">Nasken International </t>
  </si>
  <si>
    <t>Safwan</t>
  </si>
  <si>
    <t xml:space="preserve">Operation </t>
  </si>
  <si>
    <t>011-53568300</t>
  </si>
  <si>
    <t>Barcook</t>
  </si>
  <si>
    <t>Barcook Malaysia Sdn Bhd</t>
  </si>
  <si>
    <t xml:space="preserve">Ayam Tulang Lunak Nusantara </t>
  </si>
  <si>
    <t>Kazeem</t>
  </si>
  <si>
    <t>I am Geprek Bensu</t>
  </si>
  <si>
    <t xml:space="preserve">Iam geprek bensu sdn bhd </t>
  </si>
  <si>
    <t>Kuzrin</t>
  </si>
  <si>
    <t>011-55585350</t>
  </si>
  <si>
    <t xml:space="preserve">Ayam Kremes Champion </t>
  </si>
  <si>
    <t>Ayam Champion Food Sdn Bhd</t>
  </si>
  <si>
    <t>Ella</t>
  </si>
  <si>
    <t xml:space="preserve">Director </t>
  </si>
  <si>
    <t>011-40471045</t>
  </si>
  <si>
    <t>Obtech Corporation</t>
  </si>
  <si>
    <t>Obtech Corporation Sdn Bhd</t>
  </si>
  <si>
    <t>Dex Ooi</t>
  </si>
  <si>
    <t>BD Manager</t>
  </si>
  <si>
    <t>60 12-383 3195</t>
  </si>
  <si>
    <t>Hai Kah Lang</t>
  </si>
  <si>
    <t>Kenangan Coffee</t>
  </si>
  <si>
    <t>The Coffee Academics</t>
  </si>
  <si>
    <t>Luck Bros Kopi</t>
  </si>
  <si>
    <t>Bean Jr</t>
  </si>
  <si>
    <t>Black Whale</t>
  </si>
  <si>
    <t>Xing Fu Tang</t>
  </si>
  <si>
    <t>Tiger Sugar</t>
  </si>
  <si>
    <t>Farmiere</t>
  </si>
  <si>
    <t>GB&amp;C Sdn Bhd</t>
  </si>
  <si>
    <t>Shahirah Shafri</t>
  </si>
  <si>
    <t>shahirah.shafri@fefifo.co</t>
  </si>
  <si>
    <t>Marketing &amp; Commerce Manager</t>
  </si>
  <si>
    <t>013-3515343</t>
  </si>
  <si>
    <t>Ajiya House Of Gourment</t>
  </si>
  <si>
    <t>Gourment Ingredients Sdn Bhd</t>
  </si>
  <si>
    <t>Jane Lee</t>
  </si>
  <si>
    <t>Sales@gourment.com.my</t>
  </si>
  <si>
    <t>Business Devellopment</t>
  </si>
  <si>
    <t>012-6677320</t>
  </si>
  <si>
    <t>BTC</t>
  </si>
  <si>
    <t>BTC Foods Sdn Bhd</t>
  </si>
  <si>
    <t>Edwin Tan</t>
  </si>
  <si>
    <t>btsfoof2024@gmail.com</t>
  </si>
  <si>
    <t>011-21009413</t>
  </si>
  <si>
    <t>Piau Kee</t>
  </si>
  <si>
    <t>Piau Kee Live &amp; Frozen Food Sdn Bhd</t>
  </si>
  <si>
    <t>Carrie Wong</t>
  </si>
  <si>
    <t>carriewong@piaukee.com</t>
  </si>
  <si>
    <t>Sales Assistant Manager</t>
  </si>
  <si>
    <t>016-6626235</t>
  </si>
  <si>
    <t>Kandimas</t>
  </si>
  <si>
    <t>Kandimas Sdn Bhd</t>
  </si>
  <si>
    <t>Hasmawati</t>
  </si>
  <si>
    <t>waty@kandimas.com</t>
  </si>
  <si>
    <t>Sales &amp; Marketing executive</t>
  </si>
  <si>
    <t>012-5541508</t>
  </si>
  <si>
    <t>STATUS</t>
  </si>
  <si>
    <t>NOTE</t>
  </si>
  <si>
    <t>FOLLOW UP MEETING</t>
  </si>
  <si>
    <t>7. SUBSCRIBED</t>
  </si>
  <si>
    <t xml:space="preserve">Opening 2nd outlet in Sept 2026. </t>
  </si>
  <si>
    <t>STATUS UPDATE</t>
  </si>
  <si>
    <t>9. REJECTED</t>
  </si>
  <si>
    <t>FOLLOW UP CALL</t>
  </si>
  <si>
    <t>4. CONFIRMED</t>
  </si>
  <si>
    <t>Still working on SI tagging</t>
  </si>
  <si>
    <t>3. IN NEGO</t>
  </si>
  <si>
    <t xml:space="preserve">Onboard 1st outlet Ling2 Long2 first. </t>
  </si>
  <si>
    <t>2. PROPOSED</t>
  </si>
  <si>
    <t xml:space="preserve">6x outlets + 1x CK. 
Ops and CK head request for old quote and new quote to discuss with boss. </t>
  </si>
  <si>
    <t>8. KIV</t>
  </si>
  <si>
    <t xml:space="preserve">FMH outlet average price is RM 1400/yr for 20 outlets. Setting meeting with client. </t>
  </si>
  <si>
    <t xml:space="preserve">Did 2nd demo with client. Client to get back to us by end of the month to enjoy the previous quoted price. </t>
  </si>
  <si>
    <t xml:space="preserve">Client short of hand. Waiting for new staff to handle Bisync. </t>
  </si>
  <si>
    <t xml:space="preserve">Following up with Edmund </t>
  </si>
  <si>
    <t>TRAINING</t>
  </si>
  <si>
    <t>6. PAID</t>
  </si>
  <si>
    <t>Paid onboarding. Pending full payment after onboarded their SI and recipe.</t>
  </si>
  <si>
    <t>OFFLINE PRESENTATION</t>
  </si>
  <si>
    <t>1. PROSPECT</t>
  </si>
  <si>
    <t>MEETING WITH TEAM NEXT ROUND</t>
  </si>
  <si>
    <t>SALES MEETING</t>
  </si>
  <si>
    <t>1st meeting on 4/5</t>
  </si>
  <si>
    <t>COLD CALL</t>
  </si>
  <si>
    <t>0. LEAD</t>
  </si>
  <si>
    <t>EMAIL BLAST</t>
  </si>
  <si>
    <t xml:space="preserve">Manage to get outlet manager number.will contact the pic and try to connect with the HQ side </t>
  </si>
  <si>
    <t xml:space="preserve">Send Proposal to client </t>
  </si>
  <si>
    <t xml:space="preserve">Sent out quote for client to discuss with mgmt. / Follow up but no feedback from the top management </t>
  </si>
  <si>
    <t xml:space="preserve">Sent out quote for client to discuss with mgmt. </t>
  </si>
  <si>
    <t xml:space="preserve">Waiting for client to share info to send out quote and set 2nd meeting with their bosses. </t>
  </si>
  <si>
    <t>Waiting for client to pass us their recipe details to onboard a demo process flow of PMS and set 2nd meeting with them.</t>
  </si>
  <si>
    <t>Reach out to Shah/Louise and no respond on call/text. Continue to reach out to them both.</t>
  </si>
  <si>
    <t xml:space="preserve">Setting meeting. </t>
  </si>
  <si>
    <t>Kopi Street</t>
  </si>
  <si>
    <t xml:space="preserve">SG HQ not considering this for now. </t>
  </si>
  <si>
    <t xml:space="preserve">Send out proposal quote of 3 years for client. Client verbally wants to start onboarding on August 2026. </t>
  </si>
  <si>
    <t>DEMO</t>
  </si>
  <si>
    <t>Demo Set on 13/5</t>
  </si>
  <si>
    <t xml:space="preserve">Meet with one of the operation manager.but Manfred already reach out to them </t>
  </si>
  <si>
    <t>1st Meeting on 4th June/Meet with Alif owner one of the franchise.currently happy with the flow just looking at something else which is POS system.pass another contact og his aquintance . and already send quotation</t>
  </si>
  <si>
    <t xml:space="preserve">Boss to arrange meeting with ops head for demo. </t>
  </si>
  <si>
    <t>Thai Bistro</t>
  </si>
  <si>
    <t xml:space="preserve">CEO says onboard and train Ling2 Long2 outlets first before decide for new brand outlets. </t>
  </si>
  <si>
    <t>Upfront rejected</t>
  </si>
  <si>
    <t xml:space="preserve">talk with the operation manager.ask to send details first </t>
  </si>
  <si>
    <t>Rejected</t>
  </si>
  <si>
    <t xml:space="preserve">Client put us on hold to focus on 1st outlet and new Zeoniq POS. </t>
  </si>
  <si>
    <t>Setting demo meeting with operation head</t>
  </si>
  <si>
    <t>Setting demo meeting with the boss</t>
  </si>
  <si>
    <t>1st meeting on 4th June / Reschedule to 11/6/1st Demo done,Positive feedback from the PIC , basicly settle the the issue what they curretnly have .will send proposal on 12/6</t>
  </si>
  <si>
    <t>Have thier own POS</t>
  </si>
  <si>
    <t>Using Feedme POS + Inventory. Setting meeting with Teddy and Terry.</t>
  </si>
  <si>
    <t xml:space="preserve">Using P Cloud system, a cloud based server to store all their datas. </t>
  </si>
  <si>
    <t>Quote to send out to client once gotten the detail.</t>
  </si>
  <si>
    <t>Using Zeoniq</t>
  </si>
  <si>
    <t>Using Hubbo POS. Management in cost cutting and lack of manpower. Business not doing well.</t>
  </si>
  <si>
    <t>Client using Zeoniq + Codemax</t>
  </si>
  <si>
    <t>Spoke with the outlet staff currently have 5 outlets.MAnage to get the manager number</t>
  </si>
  <si>
    <t xml:space="preserve">spoke with the outlet staff , manage to get with the area manager number , Spoke with Ariff Lee curretntly using ERP system </t>
  </si>
  <si>
    <t xml:space="preserve">spoke with the outlet staff , manage to get with the area manager number </t>
  </si>
  <si>
    <t xml:space="preserve">Spoke with Faiz (Creative Director) he's handling more on the marketing side , send Bisync Deck will send to the correct person.Will follow up 2nd week of june </t>
  </si>
  <si>
    <t xml:space="preserve">Have 10 outlets </t>
  </si>
  <si>
    <t xml:space="preserve">Spoke with the outlet staff , will forawrd the details to the HQ eam </t>
  </si>
  <si>
    <t>Setting meeting with Ashraf</t>
  </si>
  <si>
    <t>Spoke with Anuwar outlet Manager , will inform HQ and follow up 4/6 evening</t>
  </si>
  <si>
    <t xml:space="preserve">Went to the store in IOI Damansara.Staff send gave email </t>
  </si>
  <si>
    <t xml:space="preserve">Went to the store staff said send email to HQ </t>
  </si>
  <si>
    <t xml:space="preserve">Got the contact during canvassing / Call on 8/6 but no reposnd </t>
  </si>
  <si>
    <t xml:space="preserve">Got the contact during canvassing </t>
  </si>
  <si>
    <t xml:space="preserve">10x outlets + 1x CK. Following up to set a demo meeting. Met ops manager in IOI Dsara Mall and seems quite keen on the solution. </t>
  </si>
  <si>
    <t xml:space="preserve">Following up to set a demo meeting. Met outlet manager in SS15 Subang canvassing. </t>
  </si>
  <si>
    <t>Went to the outlet.spoke with the Owner.Currently have 2 outltes/1ck.Currently using Xilnex for POS and POS is including Inventory as well.Not looking to change the system.</t>
  </si>
  <si>
    <t xml:space="preserve">When to the outlet and follow up with ameer.The owner are focusing on operation side for the next 6 months </t>
  </si>
  <si>
    <t xml:space="preserve">have 6 Outlet (Franchise) and 1 CK.But CK is only for coffee Beans , main HQ in Kelana jaya distribute pes to all of the outlet . MAnage to spoke with Ira.Eventually shes on the sales side.She will pass the number PIC from the procument </t>
  </si>
  <si>
    <t xml:space="preserve">Met with the BD Manager. Their set up in MY is not ready until Q4. TBC. </t>
  </si>
  <si>
    <t>Client only deal with 10 distributors from 10 different states. Easy to manage their trading orders from distributors using accounting system. Own another brand called Crusty</t>
  </si>
  <si>
    <t>Spoke With the head chef , currently they have 6 outlet 1 CK and they have another brand called Palo by sunthai food.Already inform to hr and boss.need to call the hr.Already called HQ send introduction about Bisync.</t>
  </si>
  <si>
    <t xml:space="preserve">20 outlets for KL and JB 1 CK . They plan their delivery for outlets outside of klang valley. staff pass their HQ number to contact PIC </t>
  </si>
  <si>
    <t>6 outlets + 1CK . Meeting on 24/6</t>
  </si>
  <si>
    <t xml:space="preserve">3x outlets. Closed down canteen business in Red Q. Not looking for any solution for now. </t>
  </si>
  <si>
    <t>Gotten the emails from KK. To send out the quotes for 2 years, 3mths + 1mth payment to Nadia &amp; Jessica</t>
  </si>
  <si>
    <t xml:space="preserve">15 Outlets </t>
  </si>
  <si>
    <t>Have 40 outlets. Half of them are manage by HQ.1 warehouse.They develope their own inventory system</t>
  </si>
  <si>
    <t>Already follow up with Atiqah.They going to have another 41 outlets upcoming. Currenty all staff busy preparing for MAHA event.will follow up again and its going to be longshot.Went to FDM and manage to get Manager contact</t>
  </si>
  <si>
    <t xml:space="preserve">To send out the quote today. Client to decide by end of June. </t>
  </si>
  <si>
    <t>Got the lead over the weekend. Setting meeting with Osama for demo meeting</t>
  </si>
  <si>
    <t xml:space="preserve">2x outlets in KL. Reach out to staff for boss number. </t>
  </si>
  <si>
    <t xml:space="preserve">Setting demo meeting with client. </t>
  </si>
  <si>
    <t>Spoke with Rizki from marketing. Currently operate with 2 outlets.Basicly still traditional in terms of ordering.Introduce about Bisync will talk to chef about Bisync and will follow for demo</t>
  </si>
  <si>
    <t>Manfred's old customer used Bisync back in 2023. Drop us due to lots of issue.</t>
  </si>
  <si>
    <t xml:space="preserve">Send Message thru linkedin to the operation Manager </t>
  </si>
  <si>
    <t xml:space="preserve">Went back to the outlet and staff pass area manager contact </t>
  </si>
  <si>
    <t xml:space="preserve">Went to the outlet spoke with the staff and staff pass owners number </t>
  </si>
  <si>
    <t xml:space="preserve">Doesnt have CK and only have 3 outlets </t>
  </si>
  <si>
    <t>Brand originally from Sabah. Doesnt have CK 3 outlets in KL . All straight order to supplier and currently on a system for purchasing and inventory</t>
  </si>
  <si>
    <t xml:space="preserve">need to revisit back again </t>
  </si>
  <si>
    <t>Spoke with owner , have 2 different brands and will confirm meeting on 9/7</t>
  </si>
  <si>
    <t xml:space="preserve">Have 9 outlets including food truck.CK is in Selayang </t>
  </si>
  <si>
    <t xml:space="preserve">only have 1 outlet.not gonna proceeed </t>
  </si>
  <si>
    <t xml:space="preserve">Have 3 outlets.Doesnt have CK already forward </t>
  </si>
  <si>
    <t xml:space="preserve">Staff from outlet pass hq phone number </t>
  </si>
  <si>
    <t xml:space="preserve">8 Outlet + 1CK , using FMH , only 2 user per outlet </t>
  </si>
  <si>
    <t xml:space="preserve">Follow up with marketing manager.Boss seems interested but comparing Bisync with Feed Me </t>
  </si>
  <si>
    <t xml:space="preserve">19 outlet + 1CK will be contacting the area manager , and have another brand call Kaki Lima </t>
  </si>
  <si>
    <t xml:space="preserve">4 outlets + 1 CK shared with Nale , Will contact the area manager for more details </t>
  </si>
  <si>
    <t>10 Outlets + 1ck . Seems like comfortable with their proccesses and traditional way</t>
  </si>
  <si>
    <t>not going to proceed</t>
  </si>
  <si>
    <t>using FMH.But share the pitch deck will follow up on tuesday</t>
  </si>
  <si>
    <t xml:space="preserve">PIC not in the outlet.will try to revisit again </t>
  </si>
  <si>
    <t>on FMH. outlet manager ask to liase directly with HQ .will try another angel to connect with hq.</t>
  </si>
  <si>
    <t>Staff pas Boss number.will try to connect wih the boss</t>
  </si>
  <si>
    <t>Demo meeting set on 20 July</t>
  </si>
  <si>
    <t>Client self manage using worksheet.</t>
  </si>
  <si>
    <t>2 outlets (outlet + food court) and self manage.</t>
  </si>
  <si>
    <t xml:space="preserve">1 outlet and using FMH as a group of companies. </t>
  </si>
  <si>
    <t>Spoke with Ariff , one of the bosses , they already build their own backend system</t>
  </si>
  <si>
    <t xml:space="preserve">Staff will send details about Bisync to the boss </t>
  </si>
  <si>
    <t xml:space="preserve">Currently They using xilnexx for inventory and ordering .WIll follow up PIC in HQ </t>
  </si>
  <si>
    <t xml:space="preserve">under the social group </t>
  </si>
  <si>
    <t>Already Sign Up With Codemaxx</t>
  </si>
  <si>
    <t xml:space="preserve">Need to call HQ </t>
  </si>
  <si>
    <t xml:space="preserve">Using Excell to order back to CK.Show them Bisync Mobile Apps.Outlet Manager pass area Manager phone number </t>
  </si>
  <si>
    <t xml:space="preserve">Spoke to 1 of the staff.she said she will pass number to the boss </t>
  </si>
  <si>
    <t>Only 1 outlet and another 1 is only small kiosk for rnd</t>
  </si>
  <si>
    <t xml:space="preserve">Need to connect with the manager </t>
  </si>
  <si>
    <t>Meeting with them on 17/7</t>
  </si>
  <si>
    <t xml:space="preserve">Have 3 outlets + 1ck. Staff pass director number for procument and purchasing </t>
  </si>
  <si>
    <t xml:space="preserve">Supplier </t>
  </si>
  <si>
    <t>Supplier frozen seafood frozen</t>
  </si>
  <si>
    <t xml:space="preserve">Juice and drinks supplier </t>
  </si>
  <si>
    <t xml:space="preserve">Live and frozen seafood supplier </t>
  </si>
  <si>
    <t>EUGENE</t>
  </si>
  <si>
    <t>SUBSCRIPTION FEE</t>
  </si>
  <si>
    <t>Kedah</t>
  </si>
  <si>
    <t>CUSTOMIZATION</t>
  </si>
  <si>
    <t>Kelantan</t>
  </si>
  <si>
    <t>WAN</t>
  </si>
  <si>
    <t>DEPOSIT</t>
  </si>
  <si>
    <t>Malacca</t>
  </si>
  <si>
    <t>FOLLOW UP EMAIL</t>
  </si>
  <si>
    <t>SUBSCRIPTION BALANCE</t>
  </si>
  <si>
    <t>Negeri Sembilan</t>
  </si>
  <si>
    <t>TERRENCE</t>
  </si>
  <si>
    <t>SUPPORT FEE</t>
  </si>
  <si>
    <t>Pahang</t>
  </si>
  <si>
    <t>5. INVOICED</t>
  </si>
  <si>
    <t>LENNY</t>
  </si>
  <si>
    <t>Penang</t>
  </si>
  <si>
    <t>Perak</t>
  </si>
  <si>
    <t>ONLINE PRESENTATION</t>
  </si>
  <si>
    <t>Perlis</t>
  </si>
  <si>
    <t>ALL</t>
  </si>
  <si>
    <t>Sabah</t>
  </si>
  <si>
    <t>POST MEETING</t>
  </si>
  <si>
    <t>Terengganu</t>
  </si>
  <si>
    <t>REGULAR CATCH UP</t>
  </si>
  <si>
    <t>PAYMENT RECEIVED</t>
  </si>
  <si>
    <t>Putrajaya</t>
  </si>
  <si>
    <t>SUBCRIPTION STARTS</t>
  </si>
  <si>
    <t>Labuan</t>
  </si>
  <si>
    <t>From</t>
  </si>
  <si>
    <t>NO OF WEEKS</t>
  </si>
  <si>
    <t>To</t>
  </si>
  <si>
    <t>ACTIVITY</t>
  </si>
  <si>
    <t>3. CONFIRMED</t>
  </si>
  <si>
    <t>4. POC</t>
  </si>
  <si>
    <t>HUNTER</t>
  </si>
  <si>
    <t>NO. OF LOCATION</t>
  </si>
  <si>
    <t>DATE CREATED</t>
  </si>
  <si>
    <t>LAST CONTACT DATE</t>
  </si>
  <si>
    <t>CONTACT TYPE</t>
  </si>
  <si>
    <t>FOLLOW UP REMINDER</t>
  </si>
  <si>
    <t>SUBSCRIBED</t>
  </si>
  <si>
    <t>REJECTED</t>
  </si>
  <si>
    <t>CONFIRMED</t>
  </si>
  <si>
    <t>IN NEGO</t>
  </si>
  <si>
    <t>PROPOSED</t>
  </si>
  <si>
    <t>KIV</t>
  </si>
  <si>
    <t>PAID</t>
  </si>
  <si>
    <t>PROSPECT</t>
  </si>
  <si>
    <t>LEAD</t>
  </si>
  <si>
    <t>APPOINTMENT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</si>
</sst>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09]dd\-mmm\-yy;@"/>
    <numFmt numFmtId="165" formatCode="\+\60\ \(###\)\ ###\ ####"/>
    <numFmt numFmtId="166" formatCode="_(* #,##0_);_(* \(#,##0\);_(* &quot;-&quot;??_);_(@_)"/>
    <numFmt numFmtId="167" formatCode="00000"/>
    <numFmt numFmtId="168" formatCode="[$-409]d\-mmm\-yyyy;@"/>
  </numFmts>
  <fonts count="8" x14ac:knownFonts="1">
    <font>
      <sz val="11"/>
      <color theme="1"/>
      <name val="Aptos Narrow"/>
      <family val="2"/>
      <scheme val="minor"/>
    </font>
    <font>
      <sz val="11"/>
      <color theme="1"/>
      <name val="Aptos Narrow"/>
      <family val="2"/>
      <scheme val="minor"/>
    </font>
    <font>
      <b/>
      <sz val="10"/>
      <color rgb="FF000000"/>
      <name val="Aptos Narrow"/>
      <family val="2"/>
      <scheme val="minor"/>
    </font>
    <font>
      <sz val="10"/>
      <color theme="1"/>
      <name val="Aptos Narrow"/>
      <family val="2"/>
      <scheme val="minor"/>
    </font>
    <font>
      <b/>
      <sz val="11"/>
      <color theme="1"/>
      <name val="Aptos Narrow"/>
      <family val="2"/>
      <scheme val="minor"/>
    </font>
    <font>
      <b/>
      <sz val="10"/>
      <color theme="1"/>
      <name val="Aptos Narrow"/>
      <family val="2"/>
      <scheme val="minor"/>
    </font>
    <font>
      <u/>
      <sz val="11"/>
      <color theme="10"/>
      <name val="Aptos Narrow"/>
      <family val="2"/>
      <scheme val="minor"/>
    </font>
    <font>
      <sz val="10"/>
      <color rgb="FF000000"/>
      <name val="Aptos Narrow"/>
      <scheme val="minor"/>
    </font>
  </fonts>
  <fills count="2">
    <fill>
      <patternFill patternType="none"/>
    </fill>
    <fill>
      <patternFill patternType="gray125"/>
    </fill>
  </fills>
  <borders count="5">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6" fillId="0" borderId="0" applyNumberFormat="0" applyFill="0" applyBorder="0" applyAlignment="0" applyProtection="0"/>
  </cellStyleXfs>
  <cellXfs count="49">
    <xf numFmtId="0" fontId="0" fillId="0" borderId="0" xfId="0"/>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43" fontId="3" fillId="0" borderId="0" xfId="1" applyFont="1" applyAlignment="1">
      <alignment vertical="center" wrapText="1"/>
    </xf>
    <xf numFmtId="49" fontId="3" fillId="0" borderId="1" xfId="1" applyNumberFormat="1" applyFont="1" applyBorder="1" applyAlignment="1">
      <alignment horizontal="center" vertical="center"/>
    </xf>
    <xf numFmtId="165" fontId="3" fillId="0" borderId="1" xfId="1" applyNumberFormat="1" applyFont="1" applyBorder="1" applyAlignment="1">
      <alignment horizontal="center" vertical="center"/>
    </xf>
    <xf numFmtId="43" fontId="3" fillId="0" borderId="1" xfId="1" applyFont="1" applyBorder="1" applyAlignment="1">
      <alignment vertical="center"/>
    </xf>
    <xf numFmtId="43" fontId="3" fillId="0" borderId="0" xfId="1" applyFont="1" applyAlignment="1">
      <alignment vertical="center"/>
    </xf>
    <xf numFmtId="43" fontId="2" fillId="0" borderId="1" xfId="1" applyFont="1" applyBorder="1" applyAlignment="1">
      <alignment horizontal="center" vertical="center" wrapText="1"/>
    </xf>
    <xf numFmtId="166" fontId="2" fillId="0" borderId="1" xfId="1" applyNumberFormat="1" applyFont="1" applyBorder="1" applyAlignment="1">
      <alignment horizontal="center" vertical="center" wrapText="1"/>
    </xf>
    <xf numFmtId="43" fontId="3" fillId="0" borderId="1" xfId="1" applyFont="1" applyBorder="1" applyAlignment="1">
      <alignment horizontal="left" vertical="center"/>
    </xf>
    <xf numFmtId="164" fontId="2" fillId="0" borderId="1" xfId="0" applyNumberFormat="1" applyFont="1" applyBorder="1" applyAlignment="1">
      <alignment horizontal="center" vertical="center" wrapText="1"/>
    </xf>
    <xf numFmtId="164" fontId="3" fillId="0" borderId="1" xfId="1" applyNumberFormat="1" applyFont="1" applyBorder="1" applyAlignment="1">
      <alignment horizontal="center" vertical="center"/>
    </xf>
    <xf numFmtId="43" fontId="3" fillId="0" borderId="1" xfId="1" applyFont="1" applyBorder="1" applyAlignment="1">
      <alignment horizontal="left" vertical="center" wrapText="1"/>
    </xf>
    <xf numFmtId="43" fontId="3" fillId="0" borderId="1" xfId="1" applyFont="1" applyBorder="1" applyAlignment="1">
      <alignment horizontal="center" vertical="center"/>
    </xf>
    <xf numFmtId="167" fontId="2" fillId="0" borderId="1" xfId="0" applyNumberFormat="1" applyFont="1" applyBorder="1" applyAlignment="1">
      <alignment horizontal="center" vertical="center" wrapText="1"/>
    </xf>
    <xf numFmtId="167" fontId="3" fillId="0" borderId="1" xfId="1" applyNumberFormat="1" applyFont="1" applyBorder="1" applyAlignment="1">
      <alignment horizontal="center" vertical="center"/>
    </xf>
    <xf numFmtId="43" fontId="0" fillId="0" borderId="0" xfId="1" applyFont="1"/>
    <xf numFmtId="43" fontId="5" fillId="0" borderId="0" xfId="1" applyFont="1" applyAlignment="1">
      <alignment horizontal="center" vertical="center" wrapText="1"/>
    </xf>
    <xf numFmtId="43" fontId="3" fillId="0" borderId="0" xfId="1" applyFont="1"/>
    <xf numFmtId="43" fontId="4" fillId="0" borderId="0" xfId="1" applyFont="1" applyAlignment="1">
      <alignment horizontal="center"/>
    </xf>
    <xf numFmtId="43" fontId="4" fillId="0" borderId="2" xfId="1" applyFont="1" applyBorder="1" applyAlignment="1">
      <alignment horizontal="center"/>
    </xf>
    <xf numFmtId="43" fontId="0" fillId="0" borderId="2" xfId="1" applyFont="1" applyBorder="1"/>
    <xf numFmtId="166" fontId="0" fillId="0" borderId="2" xfId="1" applyNumberFormat="1" applyFont="1" applyBorder="1"/>
    <xf numFmtId="168" fontId="5" fillId="0" borderId="2" xfId="1" applyNumberFormat="1" applyFont="1" applyBorder="1" applyAlignment="1">
      <alignment horizontal="center" vertical="center" wrapText="1"/>
    </xf>
    <xf numFmtId="43" fontId="5" fillId="0" borderId="2" xfId="1" applyFont="1" applyBorder="1" applyAlignment="1">
      <alignment horizontal="center" vertical="center" wrapText="1"/>
    </xf>
    <xf numFmtId="43" fontId="5" fillId="0" borderId="2" xfId="1" applyFont="1" applyBorder="1" applyAlignment="1">
      <alignment horizontal="left" vertical="center" wrapText="1"/>
    </xf>
    <xf numFmtId="168" fontId="3" fillId="0" borderId="2" xfId="1" applyNumberFormat="1" applyFont="1" applyBorder="1" applyAlignment="1">
      <alignment horizontal="center"/>
    </xf>
    <xf numFmtId="43" fontId="3" fillId="0" borderId="2" xfId="1" applyFont="1" applyBorder="1"/>
    <xf numFmtId="43" fontId="3" fillId="0" borderId="2" xfId="1" applyFont="1" applyBorder="1" applyAlignment="1">
      <alignment horizontal="left"/>
    </xf>
    <xf numFmtId="43" fontId="4" fillId="0" borderId="2" xfId="1" applyFont="1" applyBorder="1" applyAlignment="1" applyProtection="1">
      <alignment horizontal="center"/>
      <protection locked="0"/>
    </xf>
    <xf numFmtId="166" fontId="0" fillId="0" borderId="0" xfId="1" applyNumberFormat="1" applyFont="1" applyProtection="1">
      <protection locked="0"/>
    </xf>
    <xf numFmtId="165" fontId="3" fillId="0" borderId="1" xfId="1" quotePrefix="1" applyNumberFormat="1" applyFont="1" applyBorder="1" applyAlignment="1">
      <alignment horizontal="center" vertical="center"/>
    </xf>
    <xf numFmtId="0" fontId="7" fillId="0" borderId="0" xfId="0" applyFont="1"/>
    <xf numFmtId="43" fontId="5" fillId="0" borderId="1" xfId="1" applyFont="1" applyBorder="1" applyAlignment="1">
      <alignment horizontal="left" vertical="center"/>
    </xf>
    <xf numFmtId="166" fontId="3" fillId="0" borderId="1" xfId="1" applyNumberFormat="1" applyFont="1" applyBorder="1" applyAlignment="1">
      <alignment horizontal="center" vertical="center"/>
    </xf>
    <xf numFmtId="49" fontId="6" fillId="0" borderId="1" xfId="2" applyNumberFormat="1" applyBorder="1" applyAlignment="1">
      <alignment horizontal="center" vertical="center"/>
    </xf>
    <xf numFmtId="0" fontId="6" fillId="0" borderId="0" xfId="2"/>
    <xf numFmtId="43" fontId="3" fillId="0" borderId="2" xfId="1" applyFont="1" applyBorder="1" applyAlignment="1">
      <alignment wrapText="1"/>
    </xf>
    <xf numFmtId="49" fontId="3" fillId="0" borderId="1" xfId="1" applyNumberFormat="1" applyFont="1" applyBorder="1" applyAlignment="1">
      <alignment horizontal="center" vertical="center" wrapText="1"/>
    </xf>
    <xf numFmtId="43" fontId="3" fillId="0" borderId="1" xfId="1" applyFont="1" applyBorder="1" applyAlignment="1">
      <alignment vertical="center" wrapText="1"/>
    </xf>
    <xf numFmtId="0" fontId="6" fillId="0" borderId="0" xfId="2" applyAlignment="1">
      <alignment wrapText="1"/>
    </xf>
    <xf numFmtId="168" fontId="0" fillId="0" borderId="0" xfId="1" applyNumberFormat="1" applyFont="1" applyAlignment="1" applyProtection="1">
      <alignment horizontal="center"/>
    </xf>
    <xf numFmtId="168" fontId="0" fillId="0" borderId="0" xfId="1" applyNumberFormat="1" applyFont="1" applyAlignment="1" applyProtection="1">
      <alignment horizontal="center"/>
      <protection locked="0"/>
    </xf>
    <xf numFmtId="43" fontId="4" fillId="0" borderId="3" xfId="1" applyFont="1" applyBorder="1" applyAlignment="1">
      <alignment horizontal="center"/>
    </xf>
    <xf numFmtId="43" fontId="4" fillId="0" borderId="4" xfId="1" applyFont="1" applyBorder="1" applyAlignment="1">
      <alignment horizontal="center"/>
    </xf>
    <xf numFmtId="43" fontId="3" fillId="0" borderId="0" xfId="1" applyFont="1" applyBorder="1"/>
    <xf numFmtId="43" fontId="3" fillId="0" borderId="0" xfId="1" applyFont="1" applyBorder="1" applyAlignment="1">
      <alignment horizontal="left" vertical="center"/>
    </xf>
  </cellXfs>
  <cellStyles count="3">
    <cellStyle name="Comma" xfId="1" builtinId="3"/>
    <cellStyle name="Hyperlink" xfId="2"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3520611-5162-43DE-B23C-FE57D1CD4E85}">
  <we:reference id="WA200009404" version="1.0.0.8" store="Omex" storeType="OMEX"/>
  <we:alternateReferences>
    <we:reference id="WA200009404" version="1.0.0.8" store="WA200009404" storeType="OMEX"/>
  </we:alternateReferences>
  <we:properties>
    <we:property name="claude.fileId" value="&quot;0462b9db-e78c-48ec-8ece-7d113a6ab9f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3" Type="http://schemas.openxmlformats.org/officeDocument/2006/relationships/hyperlink" Target="mailto:projectmuse.closer@gmail.com" TargetMode="External"/><Relationship Id="rId18" Type="http://schemas.openxmlformats.org/officeDocument/2006/relationships/hyperlink" Target="mailto:jessly@blackbixon.com" TargetMode="External"/><Relationship Id="rId26" Type="http://schemas.openxmlformats.org/officeDocument/2006/relationships/hyperlink" Target="mailto:ayamgepukpakgenduthq@gmail.com" TargetMode="External"/><Relationship Id="rId39" Type="http://schemas.openxmlformats.org/officeDocument/2006/relationships/hyperlink" Target="mailto:enquiry@adecadegroup.com" TargetMode="External"/><Relationship Id="rId21" Type="http://schemas.openxmlformats.org/officeDocument/2006/relationships/hyperlink" Target="mailto:zharifashiq2710@gmail.com" TargetMode="External"/><Relationship Id="rId34" Type="http://schemas.openxmlformats.org/officeDocument/2006/relationships/hyperlink" Target="mailto:jpcomarketing@gmail.com" TargetMode="External"/><Relationship Id="rId42" Type="http://schemas.openxmlformats.org/officeDocument/2006/relationships/hyperlink" Target="mailto:jpegroupsdnbhd@gmail.com" TargetMode="External"/><Relationship Id="rId47" Type="http://schemas.openxmlformats.org/officeDocument/2006/relationships/hyperlink" Target="mailto:btsfoof2024@gmail.com" TargetMode="External"/><Relationship Id="rId7" Type="http://schemas.openxmlformats.org/officeDocument/2006/relationships/hyperlink" Target="mailto:kokyaoyew@gmail.com" TargetMode="External"/><Relationship Id="rId2" Type="http://schemas.openxmlformats.org/officeDocument/2006/relationships/hyperlink" Target="mailto:alvingan@sunsuria.com" TargetMode="External"/><Relationship Id="rId16" Type="http://schemas.openxmlformats.org/officeDocument/2006/relationships/hyperlink" Target="mailto:gyutae.kim@kyochon.com.my" TargetMode="External"/><Relationship Id="rId29" Type="http://schemas.openxmlformats.org/officeDocument/2006/relationships/hyperlink" Target="mailto:admin@ayamgepukexpress.c0m.my" TargetMode="External"/><Relationship Id="rId1" Type="http://schemas.openxmlformats.org/officeDocument/2006/relationships/hyperlink" Target="mailto:june@4fingers.com" TargetMode="External"/><Relationship Id="rId6" Type="http://schemas.openxmlformats.org/officeDocument/2006/relationships/hyperlink" Target="mailto:events@bigonioncaterer.com.my" TargetMode="External"/><Relationship Id="rId11" Type="http://schemas.openxmlformats.org/officeDocument/2006/relationships/hyperlink" Target="mailto:thefoxholesubang@gmail.com" TargetMode="External"/><Relationship Id="rId24" Type="http://schemas.openxmlformats.org/officeDocument/2006/relationships/hyperlink" Target="mailto:wawaimohamad95@gmail.com" TargetMode="External"/><Relationship Id="rId32" Type="http://schemas.openxmlformats.org/officeDocument/2006/relationships/hyperlink" Target="mailto:pakradenselangor@gmail.com" TargetMode="External"/><Relationship Id="rId37" Type="http://schemas.openxmlformats.org/officeDocument/2006/relationships/hyperlink" Target="mailto:management@g-rai.com" TargetMode="External"/><Relationship Id="rId40" Type="http://schemas.openxmlformats.org/officeDocument/2006/relationships/hyperlink" Target="mailto:khy.sukahati@gmail.com" TargetMode="External"/><Relationship Id="rId45" Type="http://schemas.openxmlformats.org/officeDocument/2006/relationships/hyperlink" Target="mailto:Sales@gourment.com.my" TargetMode="External"/><Relationship Id="rId5" Type="http://schemas.openxmlformats.org/officeDocument/2006/relationships/hyperlink" Target="mailto:timeless.caywin@gmail.com" TargetMode="External"/><Relationship Id="rId15" Type="http://schemas.openxmlformats.org/officeDocument/2006/relationships/hyperlink" Target="mailto:askhr@loob.com.my" TargetMode="External"/><Relationship Id="rId23" Type="http://schemas.openxmlformats.org/officeDocument/2006/relationships/hyperlink" Target="mailto:afiqhaire@ayamgepukpapajon.com" TargetMode="External"/><Relationship Id="rId28" Type="http://schemas.openxmlformats.org/officeDocument/2006/relationships/hyperlink" Target="mailto:alice@lynnscatering.my.com" TargetMode="External"/><Relationship Id="rId36" Type="http://schemas.openxmlformats.org/officeDocument/2006/relationships/hyperlink" Target="mailto:warungeuropakl@gmail.com" TargetMode="External"/><Relationship Id="rId10" Type="http://schemas.openxmlformats.org/officeDocument/2006/relationships/hyperlink" Target="mailto:marketing@woodfire.com" TargetMode="External"/><Relationship Id="rId19" Type="http://schemas.openxmlformats.org/officeDocument/2006/relationships/hyperlink" Target="mailto:chensan1912@gmail.com" TargetMode="External"/><Relationship Id="rId31" Type="http://schemas.openxmlformats.org/officeDocument/2006/relationships/hyperlink" Target="mailto:sales@ayamgepuktokmat.com" TargetMode="External"/><Relationship Id="rId44" Type="http://schemas.openxmlformats.org/officeDocument/2006/relationships/hyperlink" Target="mailto:shahirah.shafri@fefifo.co" TargetMode="External"/><Relationship Id="rId4" Type="http://schemas.openxmlformats.org/officeDocument/2006/relationships/hyperlink" Target="mailto:timeless.caywin@gmail.com" TargetMode="External"/><Relationship Id="rId9" Type="http://schemas.openxmlformats.org/officeDocument/2006/relationships/hyperlink" Target="mailto:arestsdnbhd@gmail.com" TargetMode="External"/><Relationship Id="rId14" Type="http://schemas.openxmlformats.org/officeDocument/2006/relationships/hyperlink" Target="mailto:latif@vcr.my" TargetMode="External"/><Relationship Id="rId22" Type="http://schemas.openxmlformats.org/officeDocument/2006/relationships/hyperlink" Target="mailto:rasanostracoffee@gmail.com" TargetMode="External"/><Relationship Id="rId27" Type="http://schemas.openxmlformats.org/officeDocument/2006/relationships/hyperlink" Target="mailto:pj_tgm@pakjohn.com" TargetMode="External"/><Relationship Id="rId30" Type="http://schemas.openxmlformats.org/officeDocument/2006/relationships/hyperlink" Target="mailto:ayamgepukselayang@gmail.com" TargetMode="External"/><Relationship Id="rId35" Type="http://schemas.openxmlformats.org/officeDocument/2006/relationships/hyperlink" Target="mailto:hello@brickhouse.my" TargetMode="External"/><Relationship Id="rId43" Type="http://schemas.openxmlformats.org/officeDocument/2006/relationships/hyperlink" Target="mailto:guankopitiam.kl@gmail.com" TargetMode="External"/><Relationship Id="rId48" Type="http://schemas.openxmlformats.org/officeDocument/2006/relationships/hyperlink" Target="mailto:waty@kandimas.com" TargetMode="External"/><Relationship Id="rId8" Type="http://schemas.openxmlformats.org/officeDocument/2006/relationships/hyperlink" Target="mailto:hi@grumpybagels.com" TargetMode="External"/><Relationship Id="rId3" Type="http://schemas.openxmlformats.org/officeDocument/2006/relationships/hyperlink" Target="mailto:timeless.caywin@gmail.com" TargetMode="External"/><Relationship Id="rId12" Type="http://schemas.openxmlformats.org/officeDocument/2006/relationships/hyperlink" Target="mailto:inaharyanidaud@gmail.com" TargetMode="External"/><Relationship Id="rId17" Type="http://schemas.openxmlformats.org/officeDocument/2006/relationships/hyperlink" Target="mailto:cat200kt@gmail.com" TargetMode="External"/><Relationship Id="rId25" Type="http://schemas.openxmlformats.org/officeDocument/2006/relationships/hyperlink" Target="mailto:faiz@kopisaigon.com" TargetMode="External"/><Relationship Id="rId33" Type="http://schemas.openxmlformats.org/officeDocument/2006/relationships/hyperlink" Target="mailto:care@popmeals.com.my" TargetMode="External"/><Relationship Id="rId38" Type="http://schemas.openxmlformats.org/officeDocument/2006/relationships/hyperlink" Target="mailto:sanggerai.my@gmail.com" TargetMode="External"/><Relationship Id="rId46" Type="http://schemas.openxmlformats.org/officeDocument/2006/relationships/hyperlink" Target="mailto:carriewong@piaukee.com" TargetMode="External"/><Relationship Id="rId20" Type="http://schemas.openxmlformats.org/officeDocument/2006/relationships/hyperlink" Target="mailto:epagism@gmail.com" TargetMode="External"/><Relationship Id="rId41" Type="http://schemas.openxmlformats.org/officeDocument/2006/relationships/hyperlink" Target="mailto:crunch@bonchon.com.m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98C3-4CFC-4325-AB72-855BBD318AE4}">
  <sheetPr codeName="Sheet1"/>
  <dimension ref="A1:M710"/>
  <sheetViews>
    <sheetView showGridLines="0" workbookViewId="0">
      <pane xSplit="3" ySplit="1" topLeftCell="D697" activePane="bottomRight" state="frozen"/>
      <selection pane="topRight" activeCell="D1" sqref="D1"/>
      <selection pane="bottomLeft" activeCell="A2" sqref="A2"/>
      <selection pane="bottomRight" activeCell="A710" sqref="A710"/>
    </sheetView>
  </sheetViews>
  <sheetFormatPr defaultColWidth="8.73046875" defaultRowHeight="13.5" customHeight="1" x14ac:dyDescent="0.45"/>
  <cols>
    <col min="1" max="1" width="30.59765625" style="11" customWidth="1"/>
    <col min="2" max="2" width="9.59765625" style="36" customWidth="1"/>
    <col min="3" max="3" width="32.265625" style="11" customWidth="1"/>
    <col min="4" max="4" width="20.59765625" style="7" customWidth="1"/>
    <col min="5" max="5" width="22.1328125" style="5" bestFit="1" customWidth="1"/>
    <col min="6" max="6" width="18.265625" style="5" customWidth="1"/>
    <col min="7" max="7" width="15.59765625" style="6" customWidth="1"/>
    <col min="8" max="8" width="16" style="6" customWidth="1"/>
    <col min="9" max="9" width="9" style="6" customWidth="1"/>
    <col min="10" max="10" width="7.3984375" style="6" customWidth="1"/>
    <col min="11" max="11" width="6.59765625" style="17" customWidth="1"/>
    <col min="12" max="12" width="15.59765625" style="13" customWidth="1"/>
    <col min="13" max="13" width="12.59765625" style="15" customWidth="1"/>
    <col min="14" max="16384" width="8.73046875" style="8"/>
  </cols>
  <sheetData>
    <row r="1" spans="1:13" s="4" customFormat="1" ht="26.1" customHeight="1" x14ac:dyDescent="0.45">
      <c r="A1" s="9" t="s">
        <v>0</v>
      </c>
      <c r="B1" s="10" t="s">
        <v>1</v>
      </c>
      <c r="C1" s="9" t="s">
        <v>2</v>
      </c>
      <c r="D1" s="9" t="s">
        <v>3</v>
      </c>
      <c r="E1" s="2" t="s">
        <v>4</v>
      </c>
      <c r="F1" s="2" t="s">
        <v>5</v>
      </c>
      <c r="G1" s="3" t="s">
        <v>6</v>
      </c>
      <c r="H1" s="3" t="s">
        <v>7</v>
      </c>
      <c r="I1" s="3" t="s">
        <v>8</v>
      </c>
      <c r="J1" s="3" t="s">
        <v>9</v>
      </c>
      <c r="K1" s="16" t="s">
        <v>10</v>
      </c>
      <c r="L1" s="12" t="s">
        <v>11</v>
      </c>
      <c r="M1" s="1" t="s">
        <v>12</v>
      </c>
    </row>
    <row r="2" spans="1:13" ht="13.15" x14ac:dyDescent="0.45">
      <c r="A2" s="11" t="s">
        <v>13</v>
      </c>
      <c r="B2" s="36">
        <v>40</v>
      </c>
      <c r="C2" s="11" t="s">
        <v>14</v>
      </c>
      <c r="M2" s="15" t="s">
        <v>15</v>
      </c>
    </row>
    <row r="3" spans="1:13" ht="13.15" x14ac:dyDescent="0.45">
      <c r="A3" s="11" t="s">
        <v>16</v>
      </c>
      <c r="B3" s="36">
        <v>83</v>
      </c>
      <c r="C3" s="11" t="s">
        <v>17</v>
      </c>
      <c r="M3" s="15" t="s">
        <v>15</v>
      </c>
    </row>
    <row r="4" spans="1:13" ht="13.15" x14ac:dyDescent="0.45">
      <c r="A4" s="11" t="s">
        <v>18</v>
      </c>
      <c r="B4" s="36">
        <v>5</v>
      </c>
      <c r="C4" s="11" t="s">
        <v>19</v>
      </c>
      <c r="M4" s="15" t="s">
        <v>15</v>
      </c>
    </row>
    <row r="5" spans="1:13" ht="13.15" x14ac:dyDescent="0.45">
      <c r="A5" s="11" t="s">
        <v>20</v>
      </c>
      <c r="B5" s="36">
        <v>290</v>
      </c>
      <c r="C5" s="11" t="s">
        <v>21</v>
      </c>
      <c r="M5" s="15" t="s">
        <v>15</v>
      </c>
    </row>
    <row r="6" spans="1:13" ht="13.15" x14ac:dyDescent="0.45">
      <c r="A6" s="11" t="s">
        <v>22</v>
      </c>
      <c r="B6" s="36">
        <v>200</v>
      </c>
      <c r="C6" s="11" t="s">
        <v>23</v>
      </c>
      <c r="M6" s="15" t="s">
        <v>15</v>
      </c>
    </row>
    <row r="7" spans="1:13" ht="13.15" x14ac:dyDescent="0.45">
      <c r="A7" s="11" t="s">
        <v>24</v>
      </c>
      <c r="B7" s="36">
        <v>30</v>
      </c>
      <c r="C7" s="11" t="s">
        <v>25</v>
      </c>
      <c r="M7" s="15" t="s">
        <v>15</v>
      </c>
    </row>
    <row r="8" spans="1:13" ht="13.15" x14ac:dyDescent="0.45">
      <c r="A8" s="11" t="s">
        <v>26</v>
      </c>
      <c r="B8" s="36">
        <v>200</v>
      </c>
      <c r="C8" s="11" t="s">
        <v>27</v>
      </c>
      <c r="M8" s="15" t="s">
        <v>15</v>
      </c>
    </row>
    <row r="9" spans="1:13" ht="13.15" x14ac:dyDescent="0.45">
      <c r="A9" s="11" t="s">
        <v>28</v>
      </c>
      <c r="B9" s="36">
        <v>3</v>
      </c>
      <c r="C9" s="11" t="s">
        <v>29</v>
      </c>
      <c r="M9" s="15" t="s">
        <v>15</v>
      </c>
    </row>
    <row r="10" spans="1:13" ht="13.15" x14ac:dyDescent="0.45">
      <c r="A10" s="11" t="s">
        <v>30</v>
      </c>
      <c r="B10" s="36">
        <v>1</v>
      </c>
      <c r="C10" s="11" t="s">
        <v>31</v>
      </c>
      <c r="M10" s="15" t="s">
        <v>32</v>
      </c>
    </row>
    <row r="11" spans="1:13" ht="13.15" x14ac:dyDescent="0.45">
      <c r="A11" s="11" t="s">
        <v>33</v>
      </c>
      <c r="C11" s="11" t="s">
        <v>31</v>
      </c>
      <c r="M11" s="15" t="s">
        <v>15</v>
      </c>
    </row>
    <row r="12" spans="1:13" ht="13.15" x14ac:dyDescent="0.45">
      <c r="A12" s="11" t="s">
        <v>34</v>
      </c>
      <c r="C12" s="11" t="s">
        <v>31</v>
      </c>
      <c r="M12" s="15" t="s">
        <v>15</v>
      </c>
    </row>
    <row r="13" spans="1:13" ht="13.15" x14ac:dyDescent="0.45">
      <c r="A13" s="11" t="s">
        <v>35</v>
      </c>
      <c r="C13" s="11" t="s">
        <v>31</v>
      </c>
      <c r="M13" s="15" t="s">
        <v>15</v>
      </c>
    </row>
    <row r="14" spans="1:13" ht="13.15" x14ac:dyDescent="0.45">
      <c r="A14" s="11" t="s">
        <v>36</v>
      </c>
      <c r="C14" s="11" t="s">
        <v>31</v>
      </c>
      <c r="M14" s="15" t="s">
        <v>15</v>
      </c>
    </row>
    <row r="15" spans="1:13" ht="13.15" x14ac:dyDescent="0.45">
      <c r="A15" s="11" t="s">
        <v>37</v>
      </c>
      <c r="C15" s="11" t="s">
        <v>31</v>
      </c>
      <c r="M15" s="15" t="s">
        <v>15</v>
      </c>
    </row>
    <row r="16" spans="1:13" ht="13.15" x14ac:dyDescent="0.45">
      <c r="A16" s="11" t="s">
        <v>38</v>
      </c>
      <c r="C16" s="11" t="s">
        <v>31</v>
      </c>
      <c r="M16" s="15" t="s">
        <v>15</v>
      </c>
    </row>
    <row r="17" spans="1:13" ht="13.15" x14ac:dyDescent="0.45">
      <c r="A17" s="11" t="s">
        <v>39</v>
      </c>
      <c r="C17" s="11" t="s">
        <v>31</v>
      </c>
      <c r="M17" s="15" t="s">
        <v>15</v>
      </c>
    </row>
    <row r="18" spans="1:13" ht="13.15" x14ac:dyDescent="0.45">
      <c r="A18" s="11" t="s">
        <v>40</v>
      </c>
      <c r="C18" s="11" t="s">
        <v>31</v>
      </c>
      <c r="M18" s="15" t="s">
        <v>15</v>
      </c>
    </row>
    <row r="19" spans="1:13" ht="13.15" x14ac:dyDescent="0.45">
      <c r="A19" s="11" t="s">
        <v>41</v>
      </c>
      <c r="C19" s="11" t="s">
        <v>31</v>
      </c>
      <c r="M19" s="15" t="s">
        <v>15</v>
      </c>
    </row>
    <row r="20" spans="1:13" ht="13.15" x14ac:dyDescent="0.45">
      <c r="A20" s="11" t="s">
        <v>42</v>
      </c>
      <c r="C20" s="11" t="s">
        <v>31</v>
      </c>
      <c r="M20" s="15" t="s">
        <v>15</v>
      </c>
    </row>
    <row r="21" spans="1:13" ht="13.15" x14ac:dyDescent="0.45">
      <c r="A21" s="11" t="s">
        <v>43</v>
      </c>
      <c r="C21" s="11" t="s">
        <v>31</v>
      </c>
      <c r="M21" s="15" t="s">
        <v>15</v>
      </c>
    </row>
    <row r="22" spans="1:13" ht="13.15" x14ac:dyDescent="0.45">
      <c r="A22" s="11" t="s">
        <v>44</v>
      </c>
      <c r="C22" s="11" t="s">
        <v>31</v>
      </c>
      <c r="M22" s="15" t="s">
        <v>15</v>
      </c>
    </row>
    <row r="23" spans="1:13" ht="13.15" x14ac:dyDescent="0.45">
      <c r="A23" s="11" t="s">
        <v>45</v>
      </c>
      <c r="C23" s="11" t="s">
        <v>31</v>
      </c>
      <c r="M23" s="15" t="s">
        <v>15</v>
      </c>
    </row>
    <row r="24" spans="1:13" ht="13.15" x14ac:dyDescent="0.45">
      <c r="A24" s="11" t="s">
        <v>46</v>
      </c>
      <c r="C24" s="11" t="s">
        <v>31</v>
      </c>
      <c r="M24" s="15" t="s">
        <v>15</v>
      </c>
    </row>
    <row r="25" spans="1:13" ht="13.15" x14ac:dyDescent="0.45">
      <c r="A25" s="11" t="s">
        <v>47</v>
      </c>
      <c r="C25" s="11" t="s">
        <v>31</v>
      </c>
      <c r="M25" s="15" t="s">
        <v>15</v>
      </c>
    </row>
    <row r="26" spans="1:13" ht="13.15" x14ac:dyDescent="0.45">
      <c r="A26" s="11" t="s">
        <v>48</v>
      </c>
      <c r="B26" s="36">
        <v>13</v>
      </c>
      <c r="C26" s="11" t="s">
        <v>49</v>
      </c>
      <c r="M26" s="15" t="s">
        <v>15</v>
      </c>
    </row>
    <row r="27" spans="1:13" ht="13.15" x14ac:dyDescent="0.45">
      <c r="A27" s="11" t="s">
        <v>50</v>
      </c>
      <c r="B27" s="36">
        <v>1</v>
      </c>
      <c r="C27" s="11" t="s">
        <v>50</v>
      </c>
      <c r="M27" s="15" t="s">
        <v>15</v>
      </c>
    </row>
    <row r="28" spans="1:13" ht="13.15" x14ac:dyDescent="0.45">
      <c r="A28" s="11" t="s">
        <v>51</v>
      </c>
      <c r="B28" s="36">
        <v>5</v>
      </c>
      <c r="C28" s="11" t="s">
        <v>52</v>
      </c>
      <c r="M28" s="15" t="s">
        <v>15</v>
      </c>
    </row>
    <row r="29" spans="1:13" ht="13.15" x14ac:dyDescent="0.45">
      <c r="A29" s="11" t="s">
        <v>53</v>
      </c>
      <c r="B29" s="36">
        <v>2</v>
      </c>
      <c r="M29" s="15" t="s">
        <v>15</v>
      </c>
    </row>
    <row r="30" spans="1:13" ht="13.15" x14ac:dyDescent="0.45">
      <c r="A30" s="11" t="s">
        <v>54</v>
      </c>
      <c r="B30" s="36">
        <v>3</v>
      </c>
      <c r="M30" s="15" t="s">
        <v>15</v>
      </c>
    </row>
    <row r="31" spans="1:13" ht="13.15" x14ac:dyDescent="0.45">
      <c r="A31" s="11" t="s">
        <v>55</v>
      </c>
      <c r="B31" s="36">
        <v>1</v>
      </c>
      <c r="M31" s="15" t="s">
        <v>15</v>
      </c>
    </row>
    <row r="32" spans="1:13" ht="13.15" x14ac:dyDescent="0.45">
      <c r="A32" s="11" t="s">
        <v>56</v>
      </c>
      <c r="B32" s="36">
        <v>1</v>
      </c>
      <c r="M32" s="15" t="s">
        <v>15</v>
      </c>
    </row>
    <row r="33" spans="1:13" ht="13.15" x14ac:dyDescent="0.45">
      <c r="A33" s="11" t="s">
        <v>57</v>
      </c>
      <c r="B33" s="36">
        <v>1</v>
      </c>
      <c r="M33" s="15" t="s">
        <v>15</v>
      </c>
    </row>
    <row r="34" spans="1:13" ht="13.15" x14ac:dyDescent="0.45">
      <c r="A34" s="11" t="s">
        <v>58</v>
      </c>
      <c r="B34" s="36">
        <v>7</v>
      </c>
      <c r="M34" s="15" t="s">
        <v>15</v>
      </c>
    </row>
    <row r="35" spans="1:13" ht="13.15" x14ac:dyDescent="0.45">
      <c r="A35" s="11" t="s">
        <v>59</v>
      </c>
      <c r="B35" s="36">
        <v>9</v>
      </c>
      <c r="M35" s="15" t="s">
        <v>15</v>
      </c>
    </row>
    <row r="36" spans="1:13" ht="13.15" x14ac:dyDescent="0.45">
      <c r="A36" s="11" t="s">
        <v>60</v>
      </c>
      <c r="B36" s="36">
        <v>2</v>
      </c>
      <c r="M36" s="15" t="s">
        <v>15</v>
      </c>
    </row>
    <row r="37" spans="1:13" ht="13.15" x14ac:dyDescent="0.45">
      <c r="A37" s="11" t="s">
        <v>61</v>
      </c>
      <c r="B37" s="36">
        <v>170</v>
      </c>
      <c r="M37" s="15" t="s">
        <v>15</v>
      </c>
    </row>
    <row r="38" spans="1:13" ht="13.15" x14ac:dyDescent="0.45">
      <c r="A38" s="11" t="s">
        <v>62</v>
      </c>
      <c r="B38" s="36">
        <v>46</v>
      </c>
      <c r="C38" s="11" t="s">
        <v>63</v>
      </c>
      <c r="M38" s="15" t="s">
        <v>64</v>
      </c>
    </row>
    <row r="39" spans="1:13" ht="13.15" x14ac:dyDescent="0.45">
      <c r="A39" s="11" t="s">
        <v>65</v>
      </c>
      <c r="C39" s="11" t="s">
        <v>63</v>
      </c>
    </row>
    <row r="40" spans="1:13" ht="13.15" x14ac:dyDescent="0.45">
      <c r="A40" s="11" t="s">
        <v>66</v>
      </c>
      <c r="B40" s="36">
        <v>7</v>
      </c>
      <c r="M40" s="15" t="s">
        <v>15</v>
      </c>
    </row>
    <row r="41" spans="1:13" ht="13.15" x14ac:dyDescent="0.45">
      <c r="A41" s="11" t="s">
        <v>67</v>
      </c>
      <c r="B41" s="36">
        <v>10</v>
      </c>
      <c r="M41" s="15" t="s">
        <v>15</v>
      </c>
    </row>
    <row r="42" spans="1:13" ht="13.15" x14ac:dyDescent="0.45">
      <c r="A42" s="11" t="s">
        <v>68</v>
      </c>
      <c r="B42" s="36">
        <v>1</v>
      </c>
      <c r="M42" s="15" t="s">
        <v>15</v>
      </c>
    </row>
    <row r="43" spans="1:13" ht="13.15" x14ac:dyDescent="0.45">
      <c r="A43" s="11" t="s">
        <v>69</v>
      </c>
      <c r="B43" s="36">
        <v>1</v>
      </c>
      <c r="M43" s="15" t="s">
        <v>15</v>
      </c>
    </row>
    <row r="44" spans="1:13" ht="13.15" x14ac:dyDescent="0.45">
      <c r="A44" s="11" t="s">
        <v>70</v>
      </c>
      <c r="B44" s="36">
        <v>100</v>
      </c>
      <c r="M44" s="15" t="s">
        <v>15</v>
      </c>
    </row>
    <row r="45" spans="1:13" ht="13.15" x14ac:dyDescent="0.45">
      <c r="A45" s="11" t="s">
        <v>71</v>
      </c>
      <c r="B45" s="36">
        <v>13</v>
      </c>
      <c r="M45" s="15" t="s">
        <v>15</v>
      </c>
    </row>
    <row r="46" spans="1:13" ht="13.15" x14ac:dyDescent="0.45">
      <c r="A46" s="11" t="s">
        <v>72</v>
      </c>
      <c r="B46" s="36">
        <v>2</v>
      </c>
      <c r="M46" s="15" t="s">
        <v>15</v>
      </c>
    </row>
    <row r="47" spans="1:13" ht="13.15" x14ac:dyDescent="0.45">
      <c r="A47" s="11" t="s">
        <v>73</v>
      </c>
      <c r="B47" s="36">
        <v>2</v>
      </c>
      <c r="M47" s="15" t="s">
        <v>15</v>
      </c>
    </row>
    <row r="48" spans="1:13" ht="13.15" x14ac:dyDescent="0.45">
      <c r="A48" s="11" t="s">
        <v>74</v>
      </c>
      <c r="B48" s="36">
        <v>3</v>
      </c>
      <c r="M48" s="15" t="s">
        <v>15</v>
      </c>
    </row>
    <row r="49" spans="1:13" ht="13.15" x14ac:dyDescent="0.45">
      <c r="A49" s="11" t="s">
        <v>75</v>
      </c>
      <c r="B49" s="36">
        <v>2</v>
      </c>
      <c r="M49" s="15" t="s">
        <v>15</v>
      </c>
    </row>
    <row r="50" spans="1:13" ht="13.15" x14ac:dyDescent="0.45">
      <c r="A50" s="11" t="s">
        <v>76</v>
      </c>
      <c r="B50" s="36">
        <v>670</v>
      </c>
      <c r="C50" s="11" t="s">
        <v>77</v>
      </c>
      <c r="M50" s="15" t="s">
        <v>78</v>
      </c>
    </row>
    <row r="51" spans="1:13" ht="13.15" x14ac:dyDescent="0.45">
      <c r="A51" s="11" t="s">
        <v>79</v>
      </c>
      <c r="B51" s="36">
        <v>2</v>
      </c>
      <c r="M51" s="15" t="s">
        <v>15</v>
      </c>
    </row>
    <row r="52" spans="1:13" ht="13.15" x14ac:dyDescent="0.45">
      <c r="A52" s="11" t="s">
        <v>80</v>
      </c>
      <c r="B52" s="36">
        <v>8</v>
      </c>
      <c r="M52" s="15" t="s">
        <v>15</v>
      </c>
    </row>
    <row r="53" spans="1:13" ht="13.15" x14ac:dyDescent="0.45">
      <c r="A53" s="11" t="s">
        <v>81</v>
      </c>
      <c r="B53" s="36">
        <v>6</v>
      </c>
      <c r="M53" s="15" t="s">
        <v>15</v>
      </c>
    </row>
    <row r="54" spans="1:13" ht="13.15" x14ac:dyDescent="0.45">
      <c r="A54" s="11" t="s">
        <v>82</v>
      </c>
      <c r="B54" s="36">
        <v>4</v>
      </c>
      <c r="M54" s="15" t="s">
        <v>15</v>
      </c>
    </row>
    <row r="55" spans="1:13" ht="13.15" x14ac:dyDescent="0.45">
      <c r="A55" s="11" t="s">
        <v>83</v>
      </c>
      <c r="B55" s="36">
        <v>6</v>
      </c>
      <c r="M55" s="15" t="s">
        <v>15</v>
      </c>
    </row>
    <row r="56" spans="1:13" ht="13.15" x14ac:dyDescent="0.45">
      <c r="A56" s="11" t="s">
        <v>84</v>
      </c>
      <c r="B56" s="36">
        <v>10</v>
      </c>
      <c r="M56" s="15" t="s">
        <v>15</v>
      </c>
    </row>
    <row r="57" spans="1:13" ht="13.15" x14ac:dyDescent="0.45">
      <c r="A57" s="11" t="s">
        <v>85</v>
      </c>
      <c r="B57" s="36">
        <v>1</v>
      </c>
      <c r="C57" s="11" t="s">
        <v>85</v>
      </c>
      <c r="M57" s="15" t="s">
        <v>64</v>
      </c>
    </row>
    <row r="58" spans="1:13" ht="13.15" x14ac:dyDescent="0.45">
      <c r="A58" s="11" t="s">
        <v>86</v>
      </c>
      <c r="B58" s="36">
        <v>2</v>
      </c>
      <c r="C58" s="11" t="s">
        <v>87</v>
      </c>
      <c r="M58" s="15" t="s">
        <v>64</v>
      </c>
    </row>
    <row r="59" spans="1:13" ht="13.15" x14ac:dyDescent="0.45">
      <c r="A59" s="11" t="s">
        <v>88</v>
      </c>
      <c r="B59" s="36">
        <v>4</v>
      </c>
      <c r="M59" s="15" t="s">
        <v>64</v>
      </c>
    </row>
    <row r="60" spans="1:13" ht="13.15" x14ac:dyDescent="0.45">
      <c r="A60" s="11" t="s">
        <v>89</v>
      </c>
      <c r="B60" s="36">
        <v>1</v>
      </c>
      <c r="M60" s="15" t="s">
        <v>15</v>
      </c>
    </row>
    <row r="61" spans="1:13" ht="13.15" x14ac:dyDescent="0.45">
      <c r="A61" s="11" t="s">
        <v>90</v>
      </c>
      <c r="B61" s="36">
        <v>3</v>
      </c>
      <c r="M61" s="15" t="s">
        <v>15</v>
      </c>
    </row>
    <row r="62" spans="1:13" ht="13.15" x14ac:dyDescent="0.45">
      <c r="A62" s="11" t="s">
        <v>91</v>
      </c>
      <c r="B62" s="36">
        <v>1</v>
      </c>
      <c r="M62" s="15" t="s">
        <v>15</v>
      </c>
    </row>
    <row r="63" spans="1:13" ht="13.15" x14ac:dyDescent="0.45">
      <c r="A63" s="11" t="s">
        <v>92</v>
      </c>
      <c r="B63" s="36">
        <v>65</v>
      </c>
      <c r="M63" s="15" t="s">
        <v>15</v>
      </c>
    </row>
    <row r="64" spans="1:13" ht="13.15" x14ac:dyDescent="0.45">
      <c r="A64" s="11" t="s">
        <v>93</v>
      </c>
      <c r="B64" s="36">
        <v>2</v>
      </c>
      <c r="M64" s="15" t="s">
        <v>15</v>
      </c>
    </row>
    <row r="65" spans="1:13" ht="13.15" x14ac:dyDescent="0.45">
      <c r="A65" s="11" t="s">
        <v>94</v>
      </c>
      <c r="B65" s="36">
        <v>6</v>
      </c>
      <c r="M65" s="15" t="s">
        <v>15</v>
      </c>
    </row>
    <row r="66" spans="1:13" ht="13.15" x14ac:dyDescent="0.45">
      <c r="A66" s="11" t="s">
        <v>95</v>
      </c>
      <c r="B66" s="36">
        <v>1</v>
      </c>
      <c r="M66" s="15" t="s">
        <v>15</v>
      </c>
    </row>
    <row r="67" spans="1:13" ht="13.15" x14ac:dyDescent="0.45">
      <c r="A67" s="11" t="s">
        <v>96</v>
      </c>
      <c r="B67" s="36">
        <v>4</v>
      </c>
      <c r="M67" s="15" t="s">
        <v>15</v>
      </c>
    </row>
    <row r="68" spans="1:13" ht="13.15" x14ac:dyDescent="0.45">
      <c r="A68" s="11" t="s">
        <v>97</v>
      </c>
      <c r="B68" s="36">
        <v>1</v>
      </c>
      <c r="M68" s="15" t="s">
        <v>15</v>
      </c>
    </row>
    <row r="69" spans="1:13" ht="13.15" x14ac:dyDescent="0.45">
      <c r="A69" s="11" t="s">
        <v>98</v>
      </c>
      <c r="B69" s="36">
        <v>1</v>
      </c>
      <c r="M69" s="15" t="s">
        <v>15</v>
      </c>
    </row>
    <row r="70" spans="1:13" ht="13.15" x14ac:dyDescent="0.45">
      <c r="A70" s="11" t="s">
        <v>99</v>
      </c>
      <c r="B70" s="36">
        <v>6</v>
      </c>
      <c r="M70" s="15" t="s">
        <v>15</v>
      </c>
    </row>
    <row r="71" spans="1:13" ht="13.15" x14ac:dyDescent="0.45">
      <c r="A71" s="11" t="s">
        <v>100</v>
      </c>
      <c r="B71" s="36">
        <v>9</v>
      </c>
      <c r="C71" s="11" t="s">
        <v>101</v>
      </c>
      <c r="M71" s="15" t="s">
        <v>64</v>
      </c>
    </row>
    <row r="72" spans="1:13" ht="13.15" x14ac:dyDescent="0.45">
      <c r="A72" s="11" t="s">
        <v>102</v>
      </c>
      <c r="B72" s="36">
        <v>1</v>
      </c>
      <c r="M72" s="15" t="s">
        <v>15</v>
      </c>
    </row>
    <row r="73" spans="1:13" ht="13.15" x14ac:dyDescent="0.45">
      <c r="A73" s="11" t="s">
        <v>103</v>
      </c>
      <c r="B73" s="36">
        <v>5</v>
      </c>
      <c r="C73" s="11" t="s">
        <v>104</v>
      </c>
      <c r="M73" s="15" t="s">
        <v>64</v>
      </c>
    </row>
    <row r="74" spans="1:13" ht="13.15" x14ac:dyDescent="0.45">
      <c r="A74" s="11" t="s">
        <v>105</v>
      </c>
      <c r="B74" s="36">
        <v>16</v>
      </c>
      <c r="M74" s="15" t="s">
        <v>15</v>
      </c>
    </row>
    <row r="75" spans="1:13" ht="13.15" x14ac:dyDescent="0.45">
      <c r="A75" s="11" t="s">
        <v>106</v>
      </c>
      <c r="B75" s="36">
        <v>10</v>
      </c>
      <c r="M75" s="15" t="s">
        <v>15</v>
      </c>
    </row>
    <row r="76" spans="1:13" ht="13.15" x14ac:dyDescent="0.45">
      <c r="A76" s="11" t="s">
        <v>107</v>
      </c>
      <c r="B76" s="36">
        <v>2</v>
      </c>
      <c r="C76" s="11" t="s">
        <v>108</v>
      </c>
      <c r="M76" s="15" t="s">
        <v>64</v>
      </c>
    </row>
    <row r="77" spans="1:13" ht="13.15" x14ac:dyDescent="0.45">
      <c r="A77" s="11" t="s">
        <v>109</v>
      </c>
      <c r="B77" s="36">
        <v>7</v>
      </c>
      <c r="C77" s="11" t="s">
        <v>110</v>
      </c>
      <c r="M77" s="15" t="s">
        <v>64</v>
      </c>
    </row>
    <row r="78" spans="1:13" ht="13.15" x14ac:dyDescent="0.45">
      <c r="A78" s="11" t="s">
        <v>111</v>
      </c>
      <c r="C78" s="11" t="s">
        <v>110</v>
      </c>
      <c r="M78" s="15" t="s">
        <v>64</v>
      </c>
    </row>
    <row r="79" spans="1:13" ht="13.15" x14ac:dyDescent="0.45">
      <c r="A79" s="11" t="s">
        <v>112</v>
      </c>
      <c r="B79" s="36">
        <v>18</v>
      </c>
      <c r="M79" s="15" t="s">
        <v>64</v>
      </c>
    </row>
    <row r="80" spans="1:13" ht="13.15" x14ac:dyDescent="0.45">
      <c r="A80" s="11" t="s">
        <v>113</v>
      </c>
      <c r="B80" s="36">
        <v>2</v>
      </c>
      <c r="M80" s="15" t="s">
        <v>64</v>
      </c>
    </row>
    <row r="81" spans="1:13" ht="13.15" x14ac:dyDescent="0.45">
      <c r="A81" s="11" t="s">
        <v>114</v>
      </c>
      <c r="B81" s="36">
        <v>6</v>
      </c>
      <c r="M81" s="15" t="s">
        <v>64</v>
      </c>
    </row>
    <row r="82" spans="1:13" ht="13.15" x14ac:dyDescent="0.45">
      <c r="A82" s="11" t="s">
        <v>115</v>
      </c>
      <c r="B82" s="36">
        <v>4</v>
      </c>
      <c r="M82" s="15" t="s">
        <v>64</v>
      </c>
    </row>
    <row r="83" spans="1:13" ht="13.15" x14ac:dyDescent="0.45">
      <c r="A83" s="11" t="s">
        <v>116</v>
      </c>
      <c r="B83" s="36">
        <v>6</v>
      </c>
      <c r="M83" s="15" t="s">
        <v>64</v>
      </c>
    </row>
    <row r="84" spans="1:13" ht="13.15" x14ac:dyDescent="0.45">
      <c r="A84" s="11" t="s">
        <v>117</v>
      </c>
      <c r="B84" s="36">
        <v>15</v>
      </c>
      <c r="C84" s="11" t="s">
        <v>118</v>
      </c>
      <c r="M84" s="15" t="s">
        <v>64</v>
      </c>
    </row>
    <row r="85" spans="1:13" ht="13.15" x14ac:dyDescent="0.45">
      <c r="A85" s="11" t="s">
        <v>119</v>
      </c>
      <c r="C85" s="11" t="s">
        <v>118</v>
      </c>
    </row>
    <row r="86" spans="1:13" ht="13.15" x14ac:dyDescent="0.45">
      <c r="A86" s="11" t="s">
        <v>120</v>
      </c>
      <c r="B86" s="36">
        <v>3</v>
      </c>
      <c r="M86" s="15" t="s">
        <v>15</v>
      </c>
    </row>
    <row r="87" spans="1:13" ht="13.15" x14ac:dyDescent="0.45">
      <c r="A87" s="11" t="s">
        <v>121</v>
      </c>
      <c r="B87" s="36">
        <v>12</v>
      </c>
      <c r="C87" s="11" t="s">
        <v>122</v>
      </c>
      <c r="M87" s="15" t="s">
        <v>15</v>
      </c>
    </row>
    <row r="88" spans="1:13" ht="13.15" x14ac:dyDescent="0.45">
      <c r="A88" s="11" t="s">
        <v>123</v>
      </c>
      <c r="C88" s="11" t="s">
        <v>122</v>
      </c>
      <c r="M88" s="15" t="s">
        <v>15</v>
      </c>
    </row>
    <row r="89" spans="1:13" ht="13.15" x14ac:dyDescent="0.45">
      <c r="A89" s="11" t="s">
        <v>124</v>
      </c>
      <c r="C89" s="11" t="s">
        <v>122</v>
      </c>
      <c r="M89" s="15" t="s">
        <v>15</v>
      </c>
    </row>
    <row r="90" spans="1:13" ht="13.15" x14ac:dyDescent="0.45">
      <c r="A90" s="11" t="s">
        <v>125</v>
      </c>
      <c r="C90" s="11" t="s">
        <v>122</v>
      </c>
      <c r="M90" s="15" t="s">
        <v>15</v>
      </c>
    </row>
    <row r="91" spans="1:13" ht="13.15" x14ac:dyDescent="0.45">
      <c r="A91" s="11" t="s">
        <v>126</v>
      </c>
      <c r="C91" s="11" t="s">
        <v>122</v>
      </c>
      <c r="M91" s="15" t="s">
        <v>15</v>
      </c>
    </row>
    <row r="92" spans="1:13" ht="13.15" x14ac:dyDescent="0.45">
      <c r="A92" s="11" t="s">
        <v>127</v>
      </c>
      <c r="C92" s="11" t="s">
        <v>122</v>
      </c>
      <c r="M92" s="15" t="s">
        <v>15</v>
      </c>
    </row>
    <row r="93" spans="1:13" ht="13.15" x14ac:dyDescent="0.45">
      <c r="A93" s="11" t="s">
        <v>128</v>
      </c>
      <c r="B93" s="36">
        <v>300</v>
      </c>
      <c r="M93" s="15" t="s">
        <v>15</v>
      </c>
    </row>
    <row r="94" spans="1:13" ht="13.15" x14ac:dyDescent="0.45">
      <c r="A94" s="11" t="s">
        <v>129</v>
      </c>
      <c r="B94" s="36">
        <v>6</v>
      </c>
      <c r="L94" s="13">
        <v>46142</v>
      </c>
      <c r="M94" s="15" t="s">
        <v>15</v>
      </c>
    </row>
    <row r="95" spans="1:13" ht="13.15" x14ac:dyDescent="0.45">
      <c r="A95" s="11" t="s">
        <v>130</v>
      </c>
      <c r="B95" s="36">
        <v>20</v>
      </c>
      <c r="M95" s="15" t="s">
        <v>15</v>
      </c>
    </row>
    <row r="96" spans="1:13" ht="13.15" x14ac:dyDescent="0.45">
      <c r="A96" s="11" t="s">
        <v>131</v>
      </c>
      <c r="B96" s="36">
        <v>2</v>
      </c>
      <c r="C96" s="11" t="s">
        <v>132</v>
      </c>
      <c r="M96" s="15" t="s">
        <v>15</v>
      </c>
    </row>
    <row r="97" spans="1:13" ht="13.15" x14ac:dyDescent="0.45">
      <c r="A97" s="11" t="s">
        <v>133</v>
      </c>
      <c r="C97" s="11" t="s">
        <v>132</v>
      </c>
      <c r="M97" s="15" t="s">
        <v>15</v>
      </c>
    </row>
    <row r="98" spans="1:13" ht="13.15" x14ac:dyDescent="0.45">
      <c r="A98" s="11" t="s">
        <v>134</v>
      </c>
      <c r="C98" s="11" t="s">
        <v>132</v>
      </c>
      <c r="M98" s="15" t="s">
        <v>15</v>
      </c>
    </row>
    <row r="99" spans="1:13" ht="13.15" x14ac:dyDescent="0.45">
      <c r="A99" s="11" t="s">
        <v>135</v>
      </c>
      <c r="B99" s="36">
        <v>26</v>
      </c>
      <c r="C99" s="11" t="s">
        <v>136</v>
      </c>
      <c r="M99" s="15" t="s">
        <v>15</v>
      </c>
    </row>
    <row r="100" spans="1:13" ht="13.15" x14ac:dyDescent="0.45">
      <c r="A100" s="11" t="s">
        <v>137</v>
      </c>
      <c r="C100" s="11" t="s">
        <v>136</v>
      </c>
      <c r="M100" s="15" t="s">
        <v>15</v>
      </c>
    </row>
    <row r="101" spans="1:13" ht="13.15" x14ac:dyDescent="0.45">
      <c r="A101" s="11" t="s">
        <v>138</v>
      </c>
      <c r="C101" s="11" t="s">
        <v>136</v>
      </c>
      <c r="M101" s="15" t="s">
        <v>15</v>
      </c>
    </row>
    <row r="102" spans="1:13" ht="13.15" x14ac:dyDescent="0.45">
      <c r="A102" s="11" t="s">
        <v>139</v>
      </c>
      <c r="B102" s="36">
        <v>11</v>
      </c>
      <c r="C102" s="11" t="s">
        <v>140</v>
      </c>
      <c r="M102" s="15" t="s">
        <v>15</v>
      </c>
    </row>
    <row r="103" spans="1:13" ht="13.15" x14ac:dyDescent="0.45">
      <c r="A103" s="11" t="s">
        <v>141</v>
      </c>
      <c r="C103" s="11" t="s">
        <v>140</v>
      </c>
      <c r="M103" s="15" t="s">
        <v>15</v>
      </c>
    </row>
    <row r="104" spans="1:13" ht="13.15" x14ac:dyDescent="0.45">
      <c r="A104" s="11" t="s">
        <v>142</v>
      </c>
      <c r="C104" s="11" t="s">
        <v>140</v>
      </c>
      <c r="M104" s="15" t="s">
        <v>15</v>
      </c>
    </row>
    <row r="105" spans="1:13" ht="13.15" x14ac:dyDescent="0.45">
      <c r="A105" s="11" t="s">
        <v>143</v>
      </c>
      <c r="C105" s="11" t="s">
        <v>140</v>
      </c>
      <c r="M105" s="15" t="s">
        <v>15</v>
      </c>
    </row>
    <row r="106" spans="1:13" ht="13.15" x14ac:dyDescent="0.45">
      <c r="A106" s="11" t="s">
        <v>144</v>
      </c>
      <c r="C106" s="11" t="s">
        <v>140</v>
      </c>
      <c r="M106" s="15" t="s">
        <v>15</v>
      </c>
    </row>
    <row r="107" spans="1:13" ht="13.15" x14ac:dyDescent="0.45">
      <c r="A107" s="11" t="s">
        <v>145</v>
      </c>
      <c r="C107" s="11" t="s">
        <v>140</v>
      </c>
      <c r="M107" s="15" t="s">
        <v>15</v>
      </c>
    </row>
    <row r="108" spans="1:13" ht="13.15" x14ac:dyDescent="0.45">
      <c r="A108" s="11" t="s">
        <v>146</v>
      </c>
      <c r="B108" s="36">
        <v>25</v>
      </c>
      <c r="C108" s="11" t="s">
        <v>147</v>
      </c>
      <c r="M108" s="15" t="s">
        <v>15</v>
      </c>
    </row>
    <row r="109" spans="1:13" ht="13.15" x14ac:dyDescent="0.45">
      <c r="A109" s="11" t="s">
        <v>148</v>
      </c>
      <c r="B109" s="36">
        <v>3</v>
      </c>
      <c r="C109" s="11" t="s">
        <v>49</v>
      </c>
      <c r="M109" s="15" t="s">
        <v>15</v>
      </c>
    </row>
    <row r="110" spans="1:13" ht="13.15" x14ac:dyDescent="0.45">
      <c r="A110" s="11" t="s">
        <v>149</v>
      </c>
      <c r="B110" s="36">
        <v>12</v>
      </c>
      <c r="C110" s="11" t="s">
        <v>150</v>
      </c>
      <c r="M110" s="15" t="s">
        <v>15</v>
      </c>
    </row>
    <row r="111" spans="1:13" ht="13.15" x14ac:dyDescent="0.45">
      <c r="A111" s="11" t="s">
        <v>151</v>
      </c>
      <c r="C111" s="11" t="s">
        <v>150</v>
      </c>
      <c r="M111" s="15" t="s">
        <v>15</v>
      </c>
    </row>
    <row r="112" spans="1:13" ht="13.15" x14ac:dyDescent="0.45">
      <c r="A112" s="11" t="s">
        <v>152</v>
      </c>
      <c r="B112" s="36">
        <v>6</v>
      </c>
      <c r="C112" s="11" t="s">
        <v>153</v>
      </c>
      <c r="M112" s="15" t="s">
        <v>15</v>
      </c>
    </row>
    <row r="113" spans="1:13" ht="13.15" x14ac:dyDescent="0.45">
      <c r="A113" s="11" t="s">
        <v>154</v>
      </c>
      <c r="B113" s="36">
        <v>2</v>
      </c>
      <c r="M113" s="15" t="s">
        <v>15</v>
      </c>
    </row>
    <row r="114" spans="1:13" ht="13.15" x14ac:dyDescent="0.45">
      <c r="A114" s="11" t="s">
        <v>155</v>
      </c>
      <c r="B114" s="36">
        <v>1</v>
      </c>
      <c r="C114" s="11" t="s">
        <v>156</v>
      </c>
      <c r="M114" s="15" t="s">
        <v>15</v>
      </c>
    </row>
    <row r="115" spans="1:13" ht="13.15" x14ac:dyDescent="0.45">
      <c r="A115" s="11" t="s">
        <v>157</v>
      </c>
      <c r="B115" s="36">
        <v>1</v>
      </c>
      <c r="C115" s="11" t="s">
        <v>158</v>
      </c>
      <c r="M115" s="15" t="s">
        <v>15</v>
      </c>
    </row>
    <row r="116" spans="1:13" ht="13.15" x14ac:dyDescent="0.45">
      <c r="A116" s="11" t="s">
        <v>159</v>
      </c>
      <c r="B116" s="36">
        <v>2</v>
      </c>
      <c r="C116" s="11" t="s">
        <v>160</v>
      </c>
      <c r="M116" s="15" t="s">
        <v>15</v>
      </c>
    </row>
    <row r="117" spans="1:13" ht="13.15" x14ac:dyDescent="0.45">
      <c r="A117" s="11" t="s">
        <v>161</v>
      </c>
      <c r="B117" s="36">
        <v>1</v>
      </c>
      <c r="C117" s="11" t="s">
        <v>162</v>
      </c>
      <c r="M117" s="15" t="s">
        <v>15</v>
      </c>
    </row>
    <row r="118" spans="1:13" ht="13.15" x14ac:dyDescent="0.45">
      <c r="A118" s="11" t="s">
        <v>163</v>
      </c>
      <c r="B118" s="36">
        <v>3</v>
      </c>
      <c r="C118" s="11" t="s">
        <v>164</v>
      </c>
      <c r="M118" s="15" t="s">
        <v>15</v>
      </c>
    </row>
    <row r="119" spans="1:13" ht="13.15" x14ac:dyDescent="0.45">
      <c r="A119" s="11" t="s">
        <v>165</v>
      </c>
      <c r="B119" s="36">
        <v>2</v>
      </c>
      <c r="M119" s="15" t="s">
        <v>15</v>
      </c>
    </row>
    <row r="120" spans="1:13" ht="13.15" x14ac:dyDescent="0.45">
      <c r="A120" s="11" t="s">
        <v>166</v>
      </c>
      <c r="B120" s="36">
        <v>12</v>
      </c>
      <c r="C120" s="11" t="s">
        <v>167</v>
      </c>
      <c r="M120" s="15" t="s">
        <v>15</v>
      </c>
    </row>
    <row r="121" spans="1:13" ht="13.15" x14ac:dyDescent="0.45">
      <c r="A121" s="11" t="s">
        <v>168</v>
      </c>
      <c r="B121" s="36">
        <v>16</v>
      </c>
      <c r="C121" s="11" t="s">
        <v>169</v>
      </c>
      <c r="M121" s="15" t="s">
        <v>15</v>
      </c>
    </row>
    <row r="122" spans="1:13" ht="13.15" x14ac:dyDescent="0.45">
      <c r="A122" s="11" t="s">
        <v>170</v>
      </c>
      <c r="C122" s="11" t="s">
        <v>169</v>
      </c>
      <c r="M122" s="15" t="s">
        <v>15</v>
      </c>
    </row>
    <row r="123" spans="1:13" ht="13.15" x14ac:dyDescent="0.45">
      <c r="A123" s="11" t="s">
        <v>171</v>
      </c>
      <c r="C123" s="11" t="s">
        <v>169</v>
      </c>
      <c r="M123" s="15" t="s">
        <v>15</v>
      </c>
    </row>
    <row r="124" spans="1:13" ht="13.15" x14ac:dyDescent="0.45">
      <c r="A124" s="11" t="s">
        <v>172</v>
      </c>
      <c r="C124" s="11" t="s">
        <v>169</v>
      </c>
      <c r="M124" s="15" t="s">
        <v>15</v>
      </c>
    </row>
    <row r="125" spans="1:13" ht="13.15" x14ac:dyDescent="0.45">
      <c r="A125" s="11" t="s">
        <v>173</v>
      </c>
      <c r="C125" s="11" t="s">
        <v>169</v>
      </c>
      <c r="M125" s="15" t="s">
        <v>15</v>
      </c>
    </row>
    <row r="126" spans="1:13" ht="13.15" x14ac:dyDescent="0.45">
      <c r="A126" s="11" t="s">
        <v>174</v>
      </c>
      <c r="C126" s="11" t="s">
        <v>169</v>
      </c>
      <c r="M126" s="15" t="s">
        <v>15</v>
      </c>
    </row>
    <row r="127" spans="1:13" ht="13.15" x14ac:dyDescent="0.45">
      <c r="A127" s="11" t="s">
        <v>175</v>
      </c>
      <c r="C127" s="11" t="s">
        <v>169</v>
      </c>
      <c r="M127" s="15" t="s">
        <v>15</v>
      </c>
    </row>
    <row r="128" spans="1:13" ht="13.15" x14ac:dyDescent="0.45">
      <c r="A128" s="11" t="s">
        <v>176</v>
      </c>
      <c r="C128" s="11" t="s">
        <v>169</v>
      </c>
      <c r="M128" s="15" t="s">
        <v>15</v>
      </c>
    </row>
    <row r="129" spans="1:13" ht="13.15" x14ac:dyDescent="0.45">
      <c r="A129" s="11" t="s">
        <v>177</v>
      </c>
      <c r="C129" s="11" t="s">
        <v>169</v>
      </c>
      <c r="M129" s="15" t="s">
        <v>15</v>
      </c>
    </row>
    <row r="130" spans="1:13" ht="13.15" x14ac:dyDescent="0.45">
      <c r="A130" s="11" t="s">
        <v>178</v>
      </c>
      <c r="C130" s="11" t="s">
        <v>169</v>
      </c>
      <c r="M130" s="15" t="s">
        <v>15</v>
      </c>
    </row>
    <row r="131" spans="1:13" ht="13.15" x14ac:dyDescent="0.45">
      <c r="A131" s="11" t="s">
        <v>179</v>
      </c>
      <c r="C131" s="11" t="s">
        <v>169</v>
      </c>
      <c r="M131" s="15" t="s">
        <v>15</v>
      </c>
    </row>
    <row r="132" spans="1:13" ht="13.15" x14ac:dyDescent="0.45">
      <c r="A132" s="11" t="s">
        <v>180</v>
      </c>
      <c r="C132" s="11" t="s">
        <v>169</v>
      </c>
      <c r="M132" s="15" t="s">
        <v>15</v>
      </c>
    </row>
    <row r="133" spans="1:13" ht="13.15" x14ac:dyDescent="0.45">
      <c r="A133" s="11" t="s">
        <v>181</v>
      </c>
      <c r="C133" s="11" t="s">
        <v>169</v>
      </c>
      <c r="M133" s="15" t="s">
        <v>15</v>
      </c>
    </row>
    <row r="134" spans="1:13" ht="13.15" x14ac:dyDescent="0.45">
      <c r="A134" s="11" t="s">
        <v>182</v>
      </c>
      <c r="C134" s="11" t="s">
        <v>169</v>
      </c>
      <c r="M134" s="15" t="s">
        <v>15</v>
      </c>
    </row>
    <row r="135" spans="1:13" ht="13.15" x14ac:dyDescent="0.45">
      <c r="A135" s="11" t="s">
        <v>183</v>
      </c>
      <c r="C135" s="11" t="s">
        <v>169</v>
      </c>
      <c r="M135" s="15" t="s">
        <v>15</v>
      </c>
    </row>
    <row r="136" spans="1:13" ht="13.15" x14ac:dyDescent="0.45">
      <c r="A136" s="11" t="s">
        <v>184</v>
      </c>
      <c r="B136" s="36">
        <v>1</v>
      </c>
      <c r="C136" s="11" t="s">
        <v>185</v>
      </c>
      <c r="M136" s="15" t="s">
        <v>15</v>
      </c>
    </row>
    <row r="137" spans="1:13" ht="13.15" x14ac:dyDescent="0.45">
      <c r="A137" s="11" t="s">
        <v>186</v>
      </c>
      <c r="B137" s="36">
        <v>9</v>
      </c>
      <c r="C137" s="11" t="s">
        <v>187</v>
      </c>
      <c r="M137" s="15" t="s">
        <v>15</v>
      </c>
    </row>
    <row r="138" spans="1:13" ht="13.15" x14ac:dyDescent="0.45">
      <c r="A138" s="11" t="s">
        <v>188</v>
      </c>
      <c r="B138" s="36">
        <v>20</v>
      </c>
      <c r="C138" s="11" t="s">
        <v>189</v>
      </c>
      <c r="M138" s="15" t="s">
        <v>15</v>
      </c>
    </row>
    <row r="139" spans="1:13" ht="13.15" x14ac:dyDescent="0.45">
      <c r="A139" s="11" t="s">
        <v>190</v>
      </c>
      <c r="B139" s="36">
        <v>10</v>
      </c>
      <c r="C139" s="11" t="s">
        <v>191</v>
      </c>
      <c r="M139" s="15" t="s">
        <v>15</v>
      </c>
    </row>
    <row r="140" spans="1:13" ht="13.15" x14ac:dyDescent="0.45">
      <c r="A140" s="11" t="s">
        <v>192</v>
      </c>
      <c r="B140" s="36">
        <v>2</v>
      </c>
      <c r="C140" s="11" t="s">
        <v>193</v>
      </c>
      <c r="M140" s="15" t="s">
        <v>15</v>
      </c>
    </row>
    <row r="141" spans="1:13" ht="13.15" x14ac:dyDescent="0.45">
      <c r="A141" s="11" t="s">
        <v>194</v>
      </c>
      <c r="B141" s="36">
        <v>3</v>
      </c>
      <c r="C141" s="11" t="s">
        <v>195</v>
      </c>
      <c r="M141" s="15" t="s">
        <v>15</v>
      </c>
    </row>
    <row r="142" spans="1:13" ht="13.15" x14ac:dyDescent="0.45">
      <c r="A142" s="11" t="s">
        <v>196</v>
      </c>
      <c r="B142" s="36">
        <v>21</v>
      </c>
      <c r="C142" s="11" t="s">
        <v>197</v>
      </c>
      <c r="M142" s="15" t="s">
        <v>15</v>
      </c>
    </row>
    <row r="143" spans="1:13" ht="13.15" x14ac:dyDescent="0.45">
      <c r="A143" s="11" t="s">
        <v>198</v>
      </c>
      <c r="B143" s="36">
        <v>65</v>
      </c>
      <c r="C143" s="11" t="s">
        <v>199</v>
      </c>
      <c r="M143" s="15" t="s">
        <v>15</v>
      </c>
    </row>
    <row r="144" spans="1:13" ht="13.15" x14ac:dyDescent="0.45">
      <c r="A144" s="11" t="s">
        <v>200</v>
      </c>
      <c r="B144" s="36">
        <v>111</v>
      </c>
      <c r="C144" s="11" t="s">
        <v>201</v>
      </c>
      <c r="M144" s="15" t="s">
        <v>15</v>
      </c>
    </row>
    <row r="145" spans="1:13" ht="13.15" x14ac:dyDescent="0.45">
      <c r="A145" s="11" t="s">
        <v>202</v>
      </c>
      <c r="B145" s="36">
        <v>40</v>
      </c>
      <c r="C145" s="11" t="s">
        <v>203</v>
      </c>
      <c r="M145" s="15" t="s">
        <v>15</v>
      </c>
    </row>
    <row r="146" spans="1:13" ht="13.15" x14ac:dyDescent="0.45">
      <c r="A146" s="11" t="s">
        <v>204</v>
      </c>
      <c r="B146" s="36">
        <v>50</v>
      </c>
      <c r="C146" s="11" t="s">
        <v>205</v>
      </c>
      <c r="M146" s="15" t="s">
        <v>15</v>
      </c>
    </row>
    <row r="147" spans="1:13" ht="13.15" x14ac:dyDescent="0.45">
      <c r="A147" s="11" t="s">
        <v>206</v>
      </c>
      <c r="B147" s="36">
        <v>20</v>
      </c>
      <c r="C147" s="11" t="s">
        <v>206</v>
      </c>
      <c r="M147" s="15" t="s">
        <v>15</v>
      </c>
    </row>
    <row r="148" spans="1:13" ht="13.15" x14ac:dyDescent="0.45">
      <c r="A148" s="11" t="s">
        <v>207</v>
      </c>
      <c r="B148" s="36">
        <v>14</v>
      </c>
      <c r="C148" s="11" t="s">
        <v>208</v>
      </c>
      <c r="M148" s="15" t="s">
        <v>15</v>
      </c>
    </row>
    <row r="149" spans="1:13" ht="13.15" x14ac:dyDescent="0.45">
      <c r="A149" s="11" t="s">
        <v>209</v>
      </c>
      <c r="B149" s="36">
        <v>1</v>
      </c>
      <c r="C149" s="11" t="s">
        <v>210</v>
      </c>
      <c r="D149" s="7" t="s">
        <v>211</v>
      </c>
      <c r="G149" s="6" t="s">
        <v>212</v>
      </c>
      <c r="M149" s="15" t="s">
        <v>15</v>
      </c>
    </row>
    <row r="150" spans="1:13" ht="13.15" x14ac:dyDescent="0.45">
      <c r="A150" s="11" t="s">
        <v>213</v>
      </c>
      <c r="B150" s="36">
        <v>2</v>
      </c>
      <c r="C150" s="11" t="s">
        <v>214</v>
      </c>
      <c r="M150" s="15" t="s">
        <v>15</v>
      </c>
    </row>
    <row r="151" spans="1:13" ht="13.15" x14ac:dyDescent="0.45">
      <c r="A151" s="11" t="s">
        <v>215</v>
      </c>
      <c r="B151" s="36">
        <v>40</v>
      </c>
      <c r="C151" s="11" t="s">
        <v>215</v>
      </c>
      <c r="M151" s="15" t="s">
        <v>15</v>
      </c>
    </row>
    <row r="152" spans="1:13" ht="13.15" x14ac:dyDescent="0.45">
      <c r="A152" s="11" t="s">
        <v>198</v>
      </c>
      <c r="B152" s="36">
        <v>111</v>
      </c>
      <c r="C152" s="11" t="s">
        <v>216</v>
      </c>
      <c r="M152" s="15" t="s">
        <v>15</v>
      </c>
    </row>
    <row r="153" spans="1:13" ht="13.15" x14ac:dyDescent="0.45">
      <c r="A153" s="11" t="s">
        <v>186</v>
      </c>
      <c r="B153" s="36">
        <v>9</v>
      </c>
      <c r="C153" s="11" t="s">
        <v>187</v>
      </c>
      <c r="M153" s="15" t="s">
        <v>15</v>
      </c>
    </row>
    <row r="154" spans="1:13" ht="12.95" customHeight="1" x14ac:dyDescent="0.45">
      <c r="A154" s="14" t="s">
        <v>217</v>
      </c>
      <c r="B154" s="36">
        <v>3</v>
      </c>
      <c r="C154" s="11" t="s">
        <v>218</v>
      </c>
      <c r="M154" s="15" t="s">
        <v>15</v>
      </c>
    </row>
    <row r="155" spans="1:13" ht="12.95" customHeight="1" x14ac:dyDescent="0.45">
      <c r="A155" s="14" t="s">
        <v>219</v>
      </c>
      <c r="C155" s="11" t="s">
        <v>218</v>
      </c>
      <c r="M155" s="15" t="s">
        <v>15</v>
      </c>
    </row>
    <row r="156" spans="1:13" ht="12.95" customHeight="1" x14ac:dyDescent="0.45">
      <c r="A156" s="14" t="s">
        <v>220</v>
      </c>
      <c r="C156" s="11" t="s">
        <v>218</v>
      </c>
      <c r="M156" s="15" t="s">
        <v>15</v>
      </c>
    </row>
    <row r="157" spans="1:13" ht="13.15" x14ac:dyDescent="0.45">
      <c r="A157" s="11" t="s">
        <v>221</v>
      </c>
      <c r="B157" s="36">
        <v>2</v>
      </c>
      <c r="C157" s="11" t="s">
        <v>221</v>
      </c>
      <c r="M157" s="15" t="s">
        <v>15</v>
      </c>
    </row>
    <row r="158" spans="1:13" ht="13.15" x14ac:dyDescent="0.45">
      <c r="A158" s="11" t="s">
        <v>222</v>
      </c>
      <c r="B158" s="36">
        <v>2</v>
      </c>
      <c r="C158" s="11" t="s">
        <v>223</v>
      </c>
      <c r="M158" s="15" t="s">
        <v>15</v>
      </c>
    </row>
    <row r="159" spans="1:13" ht="13.15" x14ac:dyDescent="0.45">
      <c r="A159" s="11" t="s">
        <v>224</v>
      </c>
      <c r="B159" s="36">
        <v>31</v>
      </c>
      <c r="C159" s="11" t="s">
        <v>225</v>
      </c>
      <c r="M159" s="15" t="s">
        <v>15</v>
      </c>
    </row>
    <row r="160" spans="1:13" ht="13.15" x14ac:dyDescent="0.45">
      <c r="A160" s="11" t="s">
        <v>226</v>
      </c>
      <c r="B160" s="36">
        <v>2</v>
      </c>
      <c r="C160" s="11" t="s">
        <v>226</v>
      </c>
      <c r="M160" s="15" t="s">
        <v>15</v>
      </c>
    </row>
    <row r="161" spans="1:13" ht="13.15" x14ac:dyDescent="0.45">
      <c r="A161" s="11" t="s">
        <v>227</v>
      </c>
      <c r="B161" s="36">
        <v>20</v>
      </c>
      <c r="C161" s="11" t="s">
        <v>228</v>
      </c>
      <c r="M161" s="15" t="s">
        <v>15</v>
      </c>
    </row>
    <row r="162" spans="1:13" ht="13.15" x14ac:dyDescent="0.45">
      <c r="A162" s="11" t="s">
        <v>229</v>
      </c>
      <c r="B162" s="36">
        <v>4</v>
      </c>
      <c r="C162" s="11" t="s">
        <v>228</v>
      </c>
      <c r="M162" s="15" t="s">
        <v>15</v>
      </c>
    </row>
    <row r="163" spans="1:13" ht="13.15" x14ac:dyDescent="0.45">
      <c r="A163" s="11" t="s">
        <v>230</v>
      </c>
      <c r="B163" s="36">
        <v>1</v>
      </c>
      <c r="C163" s="11" t="s">
        <v>228</v>
      </c>
      <c r="M163" s="15" t="s">
        <v>15</v>
      </c>
    </row>
    <row r="164" spans="1:13" ht="13.15" x14ac:dyDescent="0.45">
      <c r="A164" s="11" t="s">
        <v>231</v>
      </c>
      <c r="B164" s="36">
        <v>1</v>
      </c>
      <c r="C164" s="11" t="s">
        <v>228</v>
      </c>
      <c r="M164" s="15" t="s">
        <v>15</v>
      </c>
    </row>
    <row r="165" spans="1:13" ht="13.15" x14ac:dyDescent="0.45">
      <c r="A165" s="11" t="s">
        <v>232</v>
      </c>
      <c r="B165" s="36">
        <v>40</v>
      </c>
      <c r="C165" s="11" t="s">
        <v>233</v>
      </c>
      <c r="M165" s="15" t="s">
        <v>15</v>
      </c>
    </row>
    <row r="166" spans="1:13" ht="13.15" x14ac:dyDescent="0.45">
      <c r="A166" s="11" t="s">
        <v>234</v>
      </c>
      <c r="B166" s="36">
        <v>13</v>
      </c>
      <c r="C166" s="11" t="s">
        <v>235</v>
      </c>
      <c r="M166" s="15" t="s">
        <v>15</v>
      </c>
    </row>
    <row r="167" spans="1:13" ht="13.15" x14ac:dyDescent="0.45">
      <c r="A167" s="11" t="s">
        <v>236</v>
      </c>
      <c r="B167" s="36">
        <v>20</v>
      </c>
      <c r="C167" s="11" t="s">
        <v>237</v>
      </c>
      <c r="M167" s="15" t="s">
        <v>15</v>
      </c>
    </row>
    <row r="168" spans="1:13" ht="13.15" x14ac:dyDescent="0.45">
      <c r="A168" s="11" t="s">
        <v>238</v>
      </c>
      <c r="B168" s="36">
        <v>1800</v>
      </c>
      <c r="C168" s="11" t="s">
        <v>239</v>
      </c>
      <c r="M168" s="15" t="s">
        <v>15</v>
      </c>
    </row>
    <row r="169" spans="1:13" ht="13.15" x14ac:dyDescent="0.45">
      <c r="A169" s="11" t="s">
        <v>240</v>
      </c>
      <c r="B169" s="36">
        <v>36</v>
      </c>
      <c r="C169" s="11" t="s">
        <v>241</v>
      </c>
      <c r="M169" s="15" t="s">
        <v>15</v>
      </c>
    </row>
    <row r="170" spans="1:13" ht="13.15" x14ac:dyDescent="0.45">
      <c r="A170" s="11" t="s">
        <v>242</v>
      </c>
      <c r="B170" s="36">
        <v>2</v>
      </c>
      <c r="C170" s="11" t="s">
        <v>243</v>
      </c>
      <c r="M170" s="15" t="s">
        <v>15</v>
      </c>
    </row>
    <row r="171" spans="1:13" ht="13.15" x14ac:dyDescent="0.45">
      <c r="A171" s="11" t="s">
        <v>244</v>
      </c>
      <c r="B171" s="36">
        <v>7</v>
      </c>
      <c r="C171" s="11" t="s">
        <v>245</v>
      </c>
      <c r="M171" s="15" t="s">
        <v>15</v>
      </c>
    </row>
    <row r="172" spans="1:13" ht="13.15" x14ac:dyDescent="0.45">
      <c r="A172" s="11" t="s">
        <v>246</v>
      </c>
      <c r="C172" s="11" t="s">
        <v>245</v>
      </c>
      <c r="M172" s="15" t="s">
        <v>15</v>
      </c>
    </row>
    <row r="173" spans="1:13" ht="13.15" x14ac:dyDescent="0.45">
      <c r="A173" s="11" t="s">
        <v>247</v>
      </c>
      <c r="C173" s="11" t="s">
        <v>245</v>
      </c>
      <c r="M173" s="15" t="s">
        <v>15</v>
      </c>
    </row>
    <row r="174" spans="1:13" ht="13.15" x14ac:dyDescent="0.45">
      <c r="A174" s="11" t="s">
        <v>248</v>
      </c>
      <c r="C174" s="11" t="s">
        <v>245</v>
      </c>
      <c r="M174" s="15" t="s">
        <v>15</v>
      </c>
    </row>
    <row r="175" spans="1:13" ht="13.15" x14ac:dyDescent="0.45">
      <c r="A175" s="11" t="s">
        <v>249</v>
      </c>
      <c r="B175" s="36">
        <v>3</v>
      </c>
      <c r="C175" s="11" t="s">
        <v>250</v>
      </c>
      <c r="M175" s="15" t="s">
        <v>15</v>
      </c>
    </row>
    <row r="176" spans="1:13" ht="13.15" x14ac:dyDescent="0.45">
      <c r="A176" s="11" t="s">
        <v>251</v>
      </c>
      <c r="B176" s="36">
        <v>7</v>
      </c>
      <c r="C176" s="11" t="s">
        <v>252</v>
      </c>
      <c r="M176" s="15" t="s">
        <v>15</v>
      </c>
    </row>
    <row r="177" spans="1:13" ht="13.15" x14ac:dyDescent="0.45">
      <c r="A177" s="11" t="s">
        <v>253</v>
      </c>
      <c r="B177" s="36">
        <v>3</v>
      </c>
      <c r="C177" s="11" t="s">
        <v>252</v>
      </c>
      <c r="M177" s="15" t="s">
        <v>15</v>
      </c>
    </row>
    <row r="178" spans="1:13" ht="13.15" x14ac:dyDescent="0.45">
      <c r="A178" s="11" t="s">
        <v>254</v>
      </c>
      <c r="B178" s="36">
        <v>3</v>
      </c>
      <c r="C178" s="11" t="s">
        <v>252</v>
      </c>
      <c r="M178" s="15" t="s">
        <v>15</v>
      </c>
    </row>
    <row r="179" spans="1:13" ht="13.15" x14ac:dyDescent="0.45">
      <c r="A179" s="11" t="s">
        <v>255</v>
      </c>
      <c r="C179" s="11" t="s">
        <v>252</v>
      </c>
      <c r="M179" s="15" t="s">
        <v>15</v>
      </c>
    </row>
    <row r="180" spans="1:13" ht="13.15" x14ac:dyDescent="0.45">
      <c r="A180" s="11" t="s">
        <v>256</v>
      </c>
      <c r="C180" s="11" t="s">
        <v>252</v>
      </c>
      <c r="M180" s="15" t="s">
        <v>15</v>
      </c>
    </row>
    <row r="181" spans="1:13" ht="13.15" x14ac:dyDescent="0.45">
      <c r="A181" s="11" t="s">
        <v>257</v>
      </c>
      <c r="C181" s="11" t="s">
        <v>252</v>
      </c>
      <c r="M181" s="15" t="s">
        <v>15</v>
      </c>
    </row>
    <row r="182" spans="1:13" ht="13.15" x14ac:dyDescent="0.45">
      <c r="A182" s="11" t="s">
        <v>258</v>
      </c>
      <c r="C182" s="11" t="s">
        <v>252</v>
      </c>
      <c r="M182" s="15" t="s">
        <v>15</v>
      </c>
    </row>
    <row r="183" spans="1:13" ht="13.15" x14ac:dyDescent="0.45">
      <c r="A183" s="11" t="s">
        <v>259</v>
      </c>
      <c r="C183" s="11" t="s">
        <v>252</v>
      </c>
      <c r="M183" s="15" t="s">
        <v>15</v>
      </c>
    </row>
    <row r="184" spans="1:13" ht="13.15" x14ac:dyDescent="0.45">
      <c r="A184" s="11" t="s">
        <v>260</v>
      </c>
      <c r="C184" s="11" t="s">
        <v>252</v>
      </c>
      <c r="M184" s="15" t="s">
        <v>15</v>
      </c>
    </row>
    <row r="185" spans="1:13" ht="13.15" x14ac:dyDescent="0.45">
      <c r="A185" s="11" t="s">
        <v>261</v>
      </c>
      <c r="C185" s="11" t="s">
        <v>252</v>
      </c>
      <c r="M185" s="15" t="s">
        <v>15</v>
      </c>
    </row>
    <row r="186" spans="1:13" ht="13.15" x14ac:dyDescent="0.45">
      <c r="A186" s="11" t="s">
        <v>262</v>
      </c>
      <c r="B186" s="36">
        <v>1</v>
      </c>
      <c r="C186" s="11" t="s">
        <v>263</v>
      </c>
      <c r="M186" s="15" t="s">
        <v>15</v>
      </c>
    </row>
    <row r="187" spans="1:13" ht="13.15" x14ac:dyDescent="0.45">
      <c r="A187" s="11" t="s">
        <v>264</v>
      </c>
      <c r="B187" s="36">
        <v>15</v>
      </c>
      <c r="C187" s="11" t="s">
        <v>265</v>
      </c>
      <c r="M187" s="15" t="s">
        <v>15</v>
      </c>
    </row>
    <row r="188" spans="1:13" ht="13.15" x14ac:dyDescent="0.45">
      <c r="A188" s="11" t="s">
        <v>266</v>
      </c>
      <c r="B188" s="36">
        <v>8</v>
      </c>
      <c r="C188" s="11" t="s">
        <v>267</v>
      </c>
      <c r="M188" s="15" t="s">
        <v>32</v>
      </c>
    </row>
    <row r="189" spans="1:13" ht="13.15" x14ac:dyDescent="0.45">
      <c r="A189" s="11" t="s">
        <v>268</v>
      </c>
      <c r="B189" s="36">
        <v>5</v>
      </c>
      <c r="C189" s="11" t="s">
        <v>269</v>
      </c>
      <c r="M189" s="15" t="s">
        <v>32</v>
      </c>
    </row>
    <row r="190" spans="1:13" ht="13.15" x14ac:dyDescent="0.45">
      <c r="A190" s="11" t="s">
        <v>270</v>
      </c>
      <c r="C190" s="11" t="s">
        <v>269</v>
      </c>
    </row>
    <row r="191" spans="1:13" ht="13.15" x14ac:dyDescent="0.45">
      <c r="A191" s="11" t="s">
        <v>271</v>
      </c>
      <c r="B191" s="36">
        <v>34</v>
      </c>
      <c r="C191" s="11" t="s">
        <v>272</v>
      </c>
      <c r="M191" s="15" t="s">
        <v>32</v>
      </c>
    </row>
    <row r="192" spans="1:13" ht="13.15" x14ac:dyDescent="0.45">
      <c r="A192" s="11" t="s">
        <v>273</v>
      </c>
      <c r="C192" s="11" t="s">
        <v>272</v>
      </c>
    </row>
    <row r="193" spans="1:13" ht="13.15" x14ac:dyDescent="0.45">
      <c r="A193" s="11" t="s">
        <v>274</v>
      </c>
      <c r="C193" s="11" t="s">
        <v>272</v>
      </c>
    </row>
    <row r="194" spans="1:13" ht="13.15" x14ac:dyDescent="0.45">
      <c r="A194" s="11" t="s">
        <v>275</v>
      </c>
      <c r="C194" s="11" t="s">
        <v>272</v>
      </c>
    </row>
    <row r="195" spans="1:13" ht="13.15" x14ac:dyDescent="0.45">
      <c r="A195" s="11" t="s">
        <v>276</v>
      </c>
      <c r="C195" s="11" t="s">
        <v>272</v>
      </c>
    </row>
    <row r="196" spans="1:13" ht="13.15" x14ac:dyDescent="0.45">
      <c r="A196" s="11" t="s">
        <v>277</v>
      </c>
      <c r="B196" s="36">
        <v>7</v>
      </c>
      <c r="C196" s="11" t="s">
        <v>278</v>
      </c>
      <c r="M196" s="15" t="s">
        <v>32</v>
      </c>
    </row>
    <row r="197" spans="1:13" ht="13.15" x14ac:dyDescent="0.45">
      <c r="A197" s="11" t="s">
        <v>279</v>
      </c>
      <c r="B197" s="36">
        <v>2</v>
      </c>
      <c r="C197" s="11" t="s">
        <v>280</v>
      </c>
      <c r="M197" s="15" t="s">
        <v>32</v>
      </c>
    </row>
    <row r="198" spans="1:13" ht="13.15" x14ac:dyDescent="0.45">
      <c r="A198" s="11" t="s">
        <v>281</v>
      </c>
      <c r="B198" s="36">
        <v>9</v>
      </c>
      <c r="C198" s="11" t="s">
        <v>282</v>
      </c>
      <c r="M198" s="15" t="s">
        <v>32</v>
      </c>
    </row>
    <row r="199" spans="1:13" ht="13.15" x14ac:dyDescent="0.45">
      <c r="A199" s="11" t="s">
        <v>283</v>
      </c>
      <c r="B199" s="36">
        <v>21</v>
      </c>
      <c r="M199" s="15" t="s">
        <v>32</v>
      </c>
    </row>
    <row r="200" spans="1:13" ht="13.15" x14ac:dyDescent="0.45">
      <c r="A200" s="11" t="s">
        <v>284</v>
      </c>
      <c r="B200" s="36">
        <v>1</v>
      </c>
      <c r="M200" s="15" t="s">
        <v>32</v>
      </c>
    </row>
    <row r="201" spans="1:13" ht="13.15" x14ac:dyDescent="0.45">
      <c r="A201" s="11" t="s">
        <v>285</v>
      </c>
      <c r="B201" s="36">
        <v>7</v>
      </c>
      <c r="M201" s="15" t="s">
        <v>32</v>
      </c>
    </row>
    <row r="202" spans="1:13" ht="13.15" x14ac:dyDescent="0.45">
      <c r="A202" s="11" t="s">
        <v>286</v>
      </c>
      <c r="B202" s="36">
        <v>1</v>
      </c>
      <c r="M202" s="15" t="s">
        <v>32</v>
      </c>
    </row>
    <row r="203" spans="1:13" ht="13.15" x14ac:dyDescent="0.45">
      <c r="A203" s="11" t="s">
        <v>287</v>
      </c>
      <c r="B203" s="36">
        <v>1</v>
      </c>
      <c r="M203" s="15" t="s">
        <v>32</v>
      </c>
    </row>
    <row r="204" spans="1:13" ht="13.15" x14ac:dyDescent="0.45">
      <c r="A204" s="11" t="s">
        <v>288</v>
      </c>
      <c r="B204" s="36">
        <v>1</v>
      </c>
      <c r="M204" s="15" t="s">
        <v>32</v>
      </c>
    </row>
    <row r="205" spans="1:13" ht="13.15" x14ac:dyDescent="0.45">
      <c r="A205" s="11" t="s">
        <v>289</v>
      </c>
      <c r="B205" s="36">
        <v>1</v>
      </c>
      <c r="M205" s="15" t="s">
        <v>32</v>
      </c>
    </row>
    <row r="206" spans="1:13" ht="13.15" x14ac:dyDescent="0.45">
      <c r="A206" s="11" t="s">
        <v>290</v>
      </c>
      <c r="B206" s="36">
        <v>10</v>
      </c>
      <c r="M206" s="15" t="s">
        <v>32</v>
      </c>
    </row>
    <row r="207" spans="1:13" ht="13.15" x14ac:dyDescent="0.45">
      <c r="A207" s="11" t="s">
        <v>291</v>
      </c>
      <c r="B207" s="36">
        <v>5</v>
      </c>
      <c r="M207" s="15" t="s">
        <v>32</v>
      </c>
    </row>
    <row r="208" spans="1:13" ht="13.15" x14ac:dyDescent="0.45">
      <c r="A208" s="11" t="s">
        <v>292</v>
      </c>
      <c r="B208" s="36">
        <v>6</v>
      </c>
      <c r="M208" s="15" t="s">
        <v>32</v>
      </c>
    </row>
    <row r="209" spans="1:13" ht="13.15" x14ac:dyDescent="0.45">
      <c r="A209" s="11" t="s">
        <v>293</v>
      </c>
      <c r="B209" s="36">
        <v>3</v>
      </c>
      <c r="M209" s="15" t="s">
        <v>32</v>
      </c>
    </row>
    <row r="210" spans="1:13" ht="13.15" x14ac:dyDescent="0.45">
      <c r="A210" s="11" t="s">
        <v>294</v>
      </c>
      <c r="B210" s="36">
        <v>1</v>
      </c>
      <c r="M210" s="15" t="s">
        <v>32</v>
      </c>
    </row>
    <row r="211" spans="1:13" ht="13.15" x14ac:dyDescent="0.45">
      <c r="A211" s="11" t="s">
        <v>295</v>
      </c>
      <c r="B211" s="36">
        <v>23</v>
      </c>
      <c r="C211" s="11" t="s">
        <v>296</v>
      </c>
      <c r="M211" s="15" t="s">
        <v>64</v>
      </c>
    </row>
    <row r="212" spans="1:13" ht="13.15" x14ac:dyDescent="0.45">
      <c r="A212" s="11" t="s">
        <v>297</v>
      </c>
      <c r="B212" s="36">
        <v>18</v>
      </c>
      <c r="C212" s="11" t="s">
        <v>298</v>
      </c>
      <c r="M212" s="15" t="s">
        <v>64</v>
      </c>
    </row>
    <row r="213" spans="1:13" ht="13.15" x14ac:dyDescent="0.45">
      <c r="A213" s="11" t="s">
        <v>299</v>
      </c>
      <c r="B213" s="36">
        <v>10</v>
      </c>
      <c r="C213" s="11" t="s">
        <v>300</v>
      </c>
      <c r="M213" s="15" t="s">
        <v>64</v>
      </c>
    </row>
    <row r="214" spans="1:13" ht="13.15" x14ac:dyDescent="0.45">
      <c r="A214" s="11" t="s">
        <v>301</v>
      </c>
      <c r="B214" s="36">
        <v>12</v>
      </c>
      <c r="C214" s="11" t="s">
        <v>302</v>
      </c>
      <c r="M214" s="15" t="s">
        <v>64</v>
      </c>
    </row>
    <row r="215" spans="1:13" ht="13.15" x14ac:dyDescent="0.45">
      <c r="A215" s="11" t="s">
        <v>303</v>
      </c>
      <c r="B215" s="36">
        <v>3</v>
      </c>
      <c r="M215" s="15" t="s">
        <v>64</v>
      </c>
    </row>
    <row r="216" spans="1:13" ht="13.15" x14ac:dyDescent="0.45">
      <c r="A216" s="11" t="s">
        <v>304</v>
      </c>
      <c r="B216" s="36">
        <v>30</v>
      </c>
      <c r="C216" s="11" t="s">
        <v>305</v>
      </c>
      <c r="M216" s="15" t="s">
        <v>64</v>
      </c>
    </row>
    <row r="217" spans="1:13" ht="13.15" x14ac:dyDescent="0.45">
      <c r="A217" s="11" t="s">
        <v>306</v>
      </c>
      <c r="B217" s="36">
        <v>34</v>
      </c>
      <c r="C217" s="11" t="s">
        <v>307</v>
      </c>
      <c r="M217" s="15" t="s">
        <v>64</v>
      </c>
    </row>
    <row r="218" spans="1:13" ht="13.15" x14ac:dyDescent="0.45">
      <c r="A218" s="11" t="s">
        <v>308</v>
      </c>
      <c r="B218" s="36">
        <v>3</v>
      </c>
      <c r="C218" s="11" t="s">
        <v>309</v>
      </c>
      <c r="M218" s="15" t="s">
        <v>64</v>
      </c>
    </row>
    <row r="219" spans="1:13" ht="13.15" x14ac:dyDescent="0.45">
      <c r="A219" s="11" t="s">
        <v>310</v>
      </c>
      <c r="B219" s="36">
        <v>12</v>
      </c>
      <c r="C219" s="11" t="s">
        <v>311</v>
      </c>
      <c r="M219" s="15" t="s">
        <v>64</v>
      </c>
    </row>
    <row r="220" spans="1:13" ht="13.15" x14ac:dyDescent="0.45">
      <c r="A220" s="11" t="s">
        <v>312</v>
      </c>
      <c r="B220" s="36">
        <v>10</v>
      </c>
      <c r="C220" s="11" t="s">
        <v>313</v>
      </c>
      <c r="M220" s="15" t="s">
        <v>64</v>
      </c>
    </row>
    <row r="221" spans="1:13" ht="13.15" x14ac:dyDescent="0.45">
      <c r="A221" s="11" t="s">
        <v>314</v>
      </c>
      <c r="B221" s="36">
        <v>50</v>
      </c>
      <c r="C221" s="11" t="s">
        <v>315</v>
      </c>
      <c r="M221" s="15" t="s">
        <v>64</v>
      </c>
    </row>
    <row r="222" spans="1:13" ht="13.15" x14ac:dyDescent="0.45">
      <c r="A222" s="11" t="s">
        <v>316</v>
      </c>
      <c r="B222" s="36">
        <v>3</v>
      </c>
      <c r="C222" s="11" t="s">
        <v>317</v>
      </c>
      <c r="M222" s="15" t="s">
        <v>64</v>
      </c>
    </row>
    <row r="223" spans="1:13" ht="13.15" x14ac:dyDescent="0.45">
      <c r="A223" s="11" t="s">
        <v>318</v>
      </c>
      <c r="B223" s="36">
        <v>4</v>
      </c>
      <c r="M223" s="15" t="s">
        <v>64</v>
      </c>
    </row>
    <row r="224" spans="1:13" ht="13.15" x14ac:dyDescent="0.45">
      <c r="A224" s="11" t="s">
        <v>319</v>
      </c>
      <c r="B224" s="36">
        <v>5</v>
      </c>
      <c r="M224" s="15" t="s">
        <v>64</v>
      </c>
    </row>
    <row r="225" spans="1:13" ht="13.15" x14ac:dyDescent="0.45">
      <c r="A225" s="11" t="s">
        <v>320</v>
      </c>
      <c r="B225" s="36">
        <v>3</v>
      </c>
      <c r="C225" s="11" t="s">
        <v>321</v>
      </c>
      <c r="M225" s="15" t="s">
        <v>64</v>
      </c>
    </row>
    <row r="226" spans="1:13" ht="13.15" x14ac:dyDescent="0.45">
      <c r="A226" s="11" t="s">
        <v>322</v>
      </c>
      <c r="B226" s="36">
        <v>34</v>
      </c>
      <c r="C226" s="11" t="s">
        <v>323</v>
      </c>
      <c r="M226" s="15" t="s">
        <v>64</v>
      </c>
    </row>
    <row r="227" spans="1:13" ht="13.15" x14ac:dyDescent="0.45">
      <c r="A227" s="11" t="s">
        <v>324</v>
      </c>
      <c r="B227" s="36">
        <v>3</v>
      </c>
      <c r="C227" s="11" t="s">
        <v>325</v>
      </c>
      <c r="M227" s="15" t="s">
        <v>64</v>
      </c>
    </row>
    <row r="228" spans="1:13" ht="13.15" x14ac:dyDescent="0.45">
      <c r="A228" s="11" t="s">
        <v>326</v>
      </c>
      <c r="B228" s="36">
        <v>14</v>
      </c>
      <c r="C228" s="11" t="s">
        <v>327</v>
      </c>
      <c r="M228" s="15" t="s">
        <v>64</v>
      </c>
    </row>
    <row r="229" spans="1:13" ht="13.15" x14ac:dyDescent="0.45">
      <c r="A229" s="11" t="s">
        <v>328</v>
      </c>
      <c r="B229" s="36">
        <v>20</v>
      </c>
      <c r="C229" s="11" t="s">
        <v>329</v>
      </c>
      <c r="M229" s="15" t="s">
        <v>64</v>
      </c>
    </row>
    <row r="230" spans="1:13" ht="13.15" x14ac:dyDescent="0.45">
      <c r="A230" s="11" t="s">
        <v>330</v>
      </c>
      <c r="B230" s="36">
        <v>7</v>
      </c>
      <c r="C230" s="11" t="s">
        <v>331</v>
      </c>
      <c r="M230" s="15" t="s">
        <v>64</v>
      </c>
    </row>
    <row r="231" spans="1:13" ht="13.15" x14ac:dyDescent="0.45">
      <c r="A231" s="11" t="s">
        <v>332</v>
      </c>
      <c r="B231" s="36">
        <v>6</v>
      </c>
      <c r="C231" s="11" t="s">
        <v>333</v>
      </c>
      <c r="M231" s="15" t="s">
        <v>64</v>
      </c>
    </row>
    <row r="232" spans="1:13" ht="13.15" x14ac:dyDescent="0.45">
      <c r="A232" s="11" t="s">
        <v>334</v>
      </c>
      <c r="B232" s="36">
        <v>20</v>
      </c>
      <c r="C232" s="11" t="s">
        <v>335</v>
      </c>
      <c r="M232" s="15" t="s">
        <v>64</v>
      </c>
    </row>
    <row r="233" spans="1:13" ht="13.15" x14ac:dyDescent="0.45">
      <c r="A233" s="11" t="s">
        <v>336</v>
      </c>
      <c r="B233" s="36">
        <v>66</v>
      </c>
      <c r="C233" s="11" t="s">
        <v>337</v>
      </c>
      <c r="M233" s="15" t="s">
        <v>64</v>
      </c>
    </row>
    <row r="234" spans="1:13" ht="13.15" x14ac:dyDescent="0.45">
      <c r="A234" s="11" t="s">
        <v>338</v>
      </c>
      <c r="B234" s="36">
        <v>4</v>
      </c>
      <c r="C234" s="11" t="s">
        <v>339</v>
      </c>
      <c r="M234" s="15" t="s">
        <v>64</v>
      </c>
    </row>
    <row r="235" spans="1:13" ht="13.15" x14ac:dyDescent="0.45">
      <c r="A235" s="11" t="s">
        <v>340</v>
      </c>
      <c r="B235" s="36">
        <v>19</v>
      </c>
      <c r="C235" s="11" t="s">
        <v>341</v>
      </c>
      <c r="M235" s="15" t="s">
        <v>64</v>
      </c>
    </row>
    <row r="236" spans="1:13" ht="13.15" x14ac:dyDescent="0.45">
      <c r="A236" s="11" t="s">
        <v>342</v>
      </c>
      <c r="B236" s="36">
        <v>15</v>
      </c>
      <c r="C236" s="11" t="s">
        <v>343</v>
      </c>
      <c r="M236" s="15" t="s">
        <v>64</v>
      </c>
    </row>
    <row r="237" spans="1:13" ht="13.15" x14ac:dyDescent="0.45">
      <c r="A237" s="11" t="s">
        <v>344</v>
      </c>
      <c r="B237" s="36">
        <v>6</v>
      </c>
      <c r="C237" s="11" t="s">
        <v>345</v>
      </c>
      <c r="M237" s="15" t="s">
        <v>64</v>
      </c>
    </row>
    <row r="238" spans="1:13" ht="13.15" x14ac:dyDescent="0.45">
      <c r="A238" s="11" t="s">
        <v>346</v>
      </c>
      <c r="B238" s="36">
        <v>3</v>
      </c>
      <c r="C238" s="11" t="s">
        <v>347</v>
      </c>
      <c r="M238" s="15" t="s">
        <v>64</v>
      </c>
    </row>
    <row r="239" spans="1:13" ht="13.15" x14ac:dyDescent="0.45">
      <c r="A239" s="11" t="s">
        <v>348</v>
      </c>
      <c r="B239" s="36">
        <v>3</v>
      </c>
      <c r="C239" s="11" t="s">
        <v>349</v>
      </c>
      <c r="M239" s="15" t="s">
        <v>64</v>
      </c>
    </row>
    <row r="240" spans="1:13" ht="13.15" x14ac:dyDescent="0.45">
      <c r="A240" s="11" t="s">
        <v>350</v>
      </c>
      <c r="B240" s="36">
        <v>8</v>
      </c>
      <c r="C240" s="11" t="s">
        <v>351</v>
      </c>
      <c r="M240" s="15" t="s">
        <v>64</v>
      </c>
    </row>
    <row r="241" spans="1:13" ht="13.15" x14ac:dyDescent="0.45">
      <c r="A241" s="11" t="s">
        <v>352</v>
      </c>
      <c r="B241" s="36">
        <v>2</v>
      </c>
      <c r="M241" s="15" t="s">
        <v>64</v>
      </c>
    </row>
    <row r="242" spans="1:13" ht="13.15" x14ac:dyDescent="0.45">
      <c r="A242" s="11" t="s">
        <v>353</v>
      </c>
      <c r="B242" s="36">
        <v>4</v>
      </c>
      <c r="C242" s="11" t="s">
        <v>354</v>
      </c>
      <c r="M242" s="15" t="s">
        <v>64</v>
      </c>
    </row>
    <row r="243" spans="1:13" ht="13.15" x14ac:dyDescent="0.45">
      <c r="A243" s="11" t="s">
        <v>355</v>
      </c>
      <c r="B243" s="36">
        <v>3</v>
      </c>
      <c r="M243" s="15" t="s">
        <v>64</v>
      </c>
    </row>
    <row r="244" spans="1:13" ht="13.15" x14ac:dyDescent="0.45">
      <c r="A244" s="11" t="s">
        <v>356</v>
      </c>
      <c r="B244" s="36">
        <v>5</v>
      </c>
      <c r="C244" s="11" t="s">
        <v>357</v>
      </c>
      <c r="M244" s="15" t="s">
        <v>64</v>
      </c>
    </row>
    <row r="245" spans="1:13" ht="13.15" x14ac:dyDescent="0.45">
      <c r="A245" s="11" t="s">
        <v>114</v>
      </c>
      <c r="B245" s="36">
        <v>6</v>
      </c>
      <c r="C245" s="11" t="s">
        <v>358</v>
      </c>
      <c r="M245" s="15" t="s">
        <v>64</v>
      </c>
    </row>
    <row r="246" spans="1:13" ht="13.15" x14ac:dyDescent="0.45">
      <c r="A246" s="11" t="s">
        <v>359</v>
      </c>
      <c r="B246" s="36">
        <v>5</v>
      </c>
      <c r="C246" s="11" t="s">
        <v>360</v>
      </c>
      <c r="M246" s="15" t="s">
        <v>64</v>
      </c>
    </row>
    <row r="247" spans="1:13" ht="13.15" x14ac:dyDescent="0.45">
      <c r="A247" s="11" t="s">
        <v>361</v>
      </c>
      <c r="B247" s="36">
        <v>6</v>
      </c>
      <c r="C247" s="11" t="s">
        <v>362</v>
      </c>
      <c r="M247" s="15" t="s">
        <v>64</v>
      </c>
    </row>
    <row r="248" spans="1:13" ht="13.15" x14ac:dyDescent="0.45">
      <c r="A248" s="11" t="s">
        <v>363</v>
      </c>
      <c r="B248" s="36">
        <v>33</v>
      </c>
      <c r="C248" s="11" t="s">
        <v>364</v>
      </c>
      <c r="M248" s="15" t="s">
        <v>64</v>
      </c>
    </row>
    <row r="249" spans="1:13" ht="13.15" x14ac:dyDescent="0.45">
      <c r="A249" s="11" t="s">
        <v>365</v>
      </c>
      <c r="B249" s="36">
        <v>6</v>
      </c>
      <c r="C249" s="11" t="s">
        <v>366</v>
      </c>
      <c r="M249" s="15" t="s">
        <v>64</v>
      </c>
    </row>
    <row r="250" spans="1:13" ht="13.15" x14ac:dyDescent="0.45">
      <c r="A250" s="11" t="s">
        <v>367</v>
      </c>
      <c r="B250" s="36">
        <v>8</v>
      </c>
      <c r="C250" s="11" t="s">
        <v>368</v>
      </c>
      <c r="M250" s="15" t="s">
        <v>64</v>
      </c>
    </row>
    <row r="251" spans="1:13" ht="13.15" x14ac:dyDescent="0.45">
      <c r="A251" s="11" t="s">
        <v>369</v>
      </c>
      <c r="B251" s="36">
        <v>1</v>
      </c>
      <c r="M251" s="15" t="s">
        <v>64</v>
      </c>
    </row>
    <row r="252" spans="1:13" ht="13.15" x14ac:dyDescent="0.45">
      <c r="A252" s="11" t="s">
        <v>370</v>
      </c>
      <c r="B252" s="36">
        <v>5</v>
      </c>
      <c r="C252" s="11" t="s">
        <v>371</v>
      </c>
      <c r="M252" s="15" t="s">
        <v>64</v>
      </c>
    </row>
    <row r="253" spans="1:13" ht="13.15" x14ac:dyDescent="0.45">
      <c r="A253" s="11" t="s">
        <v>372</v>
      </c>
      <c r="C253" s="11" t="s">
        <v>373</v>
      </c>
      <c r="M253" s="15" t="s">
        <v>64</v>
      </c>
    </row>
    <row r="254" spans="1:13" ht="13.15" x14ac:dyDescent="0.45">
      <c r="A254" s="11" t="s">
        <v>374</v>
      </c>
      <c r="B254" s="36">
        <v>4</v>
      </c>
      <c r="M254" s="15" t="s">
        <v>64</v>
      </c>
    </row>
    <row r="255" spans="1:13" ht="13.15" x14ac:dyDescent="0.45">
      <c r="A255" s="11" t="s">
        <v>375</v>
      </c>
      <c r="B255" s="36">
        <v>1</v>
      </c>
      <c r="M255" s="15" t="s">
        <v>64</v>
      </c>
    </row>
    <row r="256" spans="1:13" ht="13.15" x14ac:dyDescent="0.45">
      <c r="A256" s="11" t="s">
        <v>376</v>
      </c>
      <c r="B256" s="36">
        <v>4</v>
      </c>
      <c r="C256" s="11" t="s">
        <v>377</v>
      </c>
      <c r="M256" s="15" t="s">
        <v>64</v>
      </c>
    </row>
    <row r="257" spans="1:13" ht="13.15" x14ac:dyDescent="0.45">
      <c r="A257" s="11" t="s">
        <v>378</v>
      </c>
      <c r="B257" s="36">
        <v>1</v>
      </c>
      <c r="M257" s="15" t="s">
        <v>64</v>
      </c>
    </row>
    <row r="258" spans="1:13" ht="13.15" x14ac:dyDescent="0.45">
      <c r="A258" s="11" t="s">
        <v>379</v>
      </c>
      <c r="B258" s="36">
        <v>5</v>
      </c>
      <c r="C258" s="11" t="s">
        <v>380</v>
      </c>
      <c r="M258" s="15" t="s">
        <v>64</v>
      </c>
    </row>
    <row r="259" spans="1:13" ht="13.15" x14ac:dyDescent="0.45">
      <c r="A259" s="11" t="s">
        <v>381</v>
      </c>
      <c r="B259" s="36">
        <v>2</v>
      </c>
      <c r="C259" s="11" t="s">
        <v>382</v>
      </c>
      <c r="M259" s="15" t="s">
        <v>64</v>
      </c>
    </row>
    <row r="260" spans="1:13" ht="13.15" x14ac:dyDescent="0.45">
      <c r="A260" s="11" t="s">
        <v>383</v>
      </c>
      <c r="B260" s="36">
        <v>3</v>
      </c>
      <c r="M260" s="15" t="s">
        <v>64</v>
      </c>
    </row>
    <row r="261" spans="1:13" ht="13.15" x14ac:dyDescent="0.45">
      <c r="A261" s="11" t="s">
        <v>384</v>
      </c>
      <c r="B261" s="36">
        <v>1</v>
      </c>
      <c r="C261" s="11" t="s">
        <v>385</v>
      </c>
      <c r="M261" s="15" t="s">
        <v>64</v>
      </c>
    </row>
    <row r="262" spans="1:13" ht="13.15" x14ac:dyDescent="0.45">
      <c r="A262" s="11" t="s">
        <v>386</v>
      </c>
      <c r="B262" s="36">
        <v>1</v>
      </c>
      <c r="M262" s="15" t="s">
        <v>64</v>
      </c>
    </row>
    <row r="263" spans="1:13" ht="13.15" x14ac:dyDescent="0.45">
      <c r="A263" s="11" t="s">
        <v>387</v>
      </c>
      <c r="B263" s="36">
        <v>4</v>
      </c>
      <c r="C263" s="11" t="s">
        <v>388</v>
      </c>
      <c r="M263" s="15" t="s">
        <v>64</v>
      </c>
    </row>
    <row r="264" spans="1:13" ht="13.15" x14ac:dyDescent="0.45">
      <c r="A264" s="11" t="s">
        <v>389</v>
      </c>
      <c r="B264" s="36">
        <v>14</v>
      </c>
      <c r="C264" s="11" t="s">
        <v>390</v>
      </c>
      <c r="M264" s="15" t="s">
        <v>64</v>
      </c>
    </row>
    <row r="265" spans="1:13" ht="13.15" x14ac:dyDescent="0.45">
      <c r="A265" s="11" t="s">
        <v>391</v>
      </c>
      <c r="B265" s="36">
        <v>5</v>
      </c>
      <c r="C265" s="11" t="s">
        <v>392</v>
      </c>
      <c r="M265" s="15" t="s">
        <v>64</v>
      </c>
    </row>
    <row r="266" spans="1:13" ht="13.15" x14ac:dyDescent="0.45">
      <c r="A266" s="11" t="s">
        <v>393</v>
      </c>
      <c r="B266" s="36">
        <v>3</v>
      </c>
      <c r="C266" s="11" t="s">
        <v>394</v>
      </c>
      <c r="M266" s="15" t="s">
        <v>64</v>
      </c>
    </row>
    <row r="267" spans="1:13" ht="13.15" x14ac:dyDescent="0.45">
      <c r="A267" s="11" t="s">
        <v>395</v>
      </c>
      <c r="B267" s="36">
        <v>4</v>
      </c>
      <c r="M267" s="15" t="s">
        <v>64</v>
      </c>
    </row>
    <row r="268" spans="1:13" ht="13.15" x14ac:dyDescent="0.45">
      <c r="A268" s="11" t="s">
        <v>396</v>
      </c>
      <c r="B268" s="36">
        <v>10</v>
      </c>
      <c r="C268" s="11" t="s">
        <v>397</v>
      </c>
      <c r="M268" s="15" t="s">
        <v>64</v>
      </c>
    </row>
    <row r="269" spans="1:13" ht="13.15" x14ac:dyDescent="0.45">
      <c r="A269" s="11" t="s">
        <v>398</v>
      </c>
      <c r="B269" s="36">
        <v>1</v>
      </c>
      <c r="C269" s="11" t="s">
        <v>399</v>
      </c>
      <c r="M269" s="15" t="s">
        <v>64</v>
      </c>
    </row>
    <row r="270" spans="1:13" ht="13.15" x14ac:dyDescent="0.45">
      <c r="A270" s="11" t="s">
        <v>400</v>
      </c>
      <c r="B270" s="36">
        <v>4</v>
      </c>
      <c r="M270" s="15" t="s">
        <v>64</v>
      </c>
    </row>
    <row r="271" spans="1:13" ht="13.15" x14ac:dyDescent="0.45">
      <c r="A271" s="11" t="s">
        <v>401</v>
      </c>
      <c r="B271" s="36">
        <v>2</v>
      </c>
      <c r="C271" s="11" t="s">
        <v>402</v>
      </c>
      <c r="M271" s="15" t="s">
        <v>64</v>
      </c>
    </row>
    <row r="272" spans="1:13" ht="13.15" x14ac:dyDescent="0.45">
      <c r="A272" s="11" t="s">
        <v>403</v>
      </c>
      <c r="B272" s="36">
        <v>3</v>
      </c>
      <c r="C272" s="11" t="s">
        <v>404</v>
      </c>
      <c r="M272" s="15" t="s">
        <v>64</v>
      </c>
    </row>
    <row r="273" spans="1:13" ht="13.15" x14ac:dyDescent="0.45">
      <c r="A273" s="11" t="s">
        <v>405</v>
      </c>
      <c r="B273" s="36">
        <v>3</v>
      </c>
      <c r="C273" s="11" t="s">
        <v>406</v>
      </c>
      <c r="M273" s="15" t="s">
        <v>64</v>
      </c>
    </row>
    <row r="274" spans="1:13" ht="13.15" x14ac:dyDescent="0.45">
      <c r="A274" s="11" t="s">
        <v>407</v>
      </c>
      <c r="B274" s="36">
        <v>1</v>
      </c>
      <c r="C274" s="11" t="s">
        <v>408</v>
      </c>
      <c r="M274" s="15" t="s">
        <v>64</v>
      </c>
    </row>
    <row r="275" spans="1:13" ht="13.15" x14ac:dyDescent="0.45">
      <c r="A275" s="11" t="s">
        <v>409</v>
      </c>
      <c r="B275" s="36">
        <v>6</v>
      </c>
      <c r="C275" s="11" t="s">
        <v>410</v>
      </c>
      <c r="M275" s="15" t="s">
        <v>64</v>
      </c>
    </row>
    <row r="276" spans="1:13" ht="13.15" x14ac:dyDescent="0.45">
      <c r="A276" s="11" t="s">
        <v>411</v>
      </c>
      <c r="B276" s="36">
        <v>2</v>
      </c>
      <c r="C276" s="11" t="s">
        <v>412</v>
      </c>
      <c r="M276" s="15" t="s">
        <v>64</v>
      </c>
    </row>
    <row r="277" spans="1:13" ht="13.15" x14ac:dyDescent="0.45">
      <c r="A277" s="11" t="s">
        <v>413</v>
      </c>
      <c r="B277" s="36">
        <v>31</v>
      </c>
      <c r="C277" s="11" t="s">
        <v>414</v>
      </c>
      <c r="M277" s="15" t="s">
        <v>64</v>
      </c>
    </row>
    <row r="278" spans="1:13" ht="13.15" x14ac:dyDescent="0.45">
      <c r="A278" s="11" t="s">
        <v>415</v>
      </c>
      <c r="B278" s="36">
        <v>20</v>
      </c>
      <c r="C278" s="11" t="s">
        <v>416</v>
      </c>
      <c r="M278" s="15" t="s">
        <v>64</v>
      </c>
    </row>
    <row r="279" spans="1:13" ht="13.15" x14ac:dyDescent="0.45">
      <c r="A279" s="11" t="s">
        <v>417</v>
      </c>
      <c r="B279" s="36">
        <v>6</v>
      </c>
      <c r="M279" s="15" t="s">
        <v>64</v>
      </c>
    </row>
    <row r="280" spans="1:13" ht="13.15" x14ac:dyDescent="0.45">
      <c r="A280" s="11" t="s">
        <v>418</v>
      </c>
      <c r="B280" s="36">
        <v>1</v>
      </c>
      <c r="C280" s="11" t="s">
        <v>419</v>
      </c>
      <c r="M280" s="15" t="s">
        <v>64</v>
      </c>
    </row>
    <row r="281" spans="1:13" ht="13.15" x14ac:dyDescent="0.45">
      <c r="A281" s="11" t="s">
        <v>420</v>
      </c>
      <c r="B281" s="36">
        <v>2</v>
      </c>
      <c r="M281" s="15" t="s">
        <v>64</v>
      </c>
    </row>
    <row r="282" spans="1:13" ht="13.15" x14ac:dyDescent="0.45">
      <c r="A282" s="11" t="s">
        <v>421</v>
      </c>
      <c r="B282" s="36">
        <v>1</v>
      </c>
      <c r="M282" s="15" t="s">
        <v>64</v>
      </c>
    </row>
    <row r="283" spans="1:13" ht="13.15" x14ac:dyDescent="0.45">
      <c r="A283" s="11" t="s">
        <v>422</v>
      </c>
      <c r="B283" s="36">
        <v>7</v>
      </c>
      <c r="C283" s="11" t="s">
        <v>423</v>
      </c>
      <c r="M283" s="15" t="s">
        <v>64</v>
      </c>
    </row>
    <row r="284" spans="1:13" ht="13.15" x14ac:dyDescent="0.45">
      <c r="A284" s="11" t="s">
        <v>424</v>
      </c>
      <c r="B284" s="36">
        <v>36</v>
      </c>
      <c r="C284" s="11" t="s">
        <v>425</v>
      </c>
      <c r="M284" s="15" t="s">
        <v>64</v>
      </c>
    </row>
    <row r="285" spans="1:13" ht="13.15" x14ac:dyDescent="0.45">
      <c r="A285" s="11" t="s">
        <v>426</v>
      </c>
      <c r="B285" s="36">
        <v>4</v>
      </c>
      <c r="C285" s="11" t="s">
        <v>427</v>
      </c>
      <c r="M285" s="15" t="s">
        <v>64</v>
      </c>
    </row>
    <row r="286" spans="1:13" ht="13.15" x14ac:dyDescent="0.45">
      <c r="A286" s="11" t="s">
        <v>428</v>
      </c>
      <c r="B286" s="36">
        <v>1</v>
      </c>
      <c r="M286" s="15" t="s">
        <v>64</v>
      </c>
    </row>
    <row r="287" spans="1:13" ht="13.15" x14ac:dyDescent="0.45">
      <c r="A287" s="11" t="s">
        <v>429</v>
      </c>
      <c r="B287" s="36">
        <v>3</v>
      </c>
      <c r="C287" s="11" t="s">
        <v>430</v>
      </c>
      <c r="M287" s="15" t="s">
        <v>64</v>
      </c>
    </row>
    <row r="288" spans="1:13" ht="13.15" x14ac:dyDescent="0.45">
      <c r="A288" s="11" t="s">
        <v>431</v>
      </c>
      <c r="B288" s="36">
        <v>1</v>
      </c>
      <c r="C288" s="11" t="s">
        <v>432</v>
      </c>
      <c r="M288" s="15" t="s">
        <v>64</v>
      </c>
    </row>
    <row r="289" spans="1:13" ht="13.15" x14ac:dyDescent="0.45">
      <c r="A289" s="11" t="s">
        <v>433</v>
      </c>
      <c r="B289" s="36">
        <v>2</v>
      </c>
      <c r="M289" s="15" t="s">
        <v>64</v>
      </c>
    </row>
    <row r="290" spans="1:13" ht="13.15" x14ac:dyDescent="0.45">
      <c r="A290" s="11" t="s">
        <v>434</v>
      </c>
      <c r="B290" s="36">
        <v>11</v>
      </c>
      <c r="C290" s="11" t="s">
        <v>435</v>
      </c>
      <c r="M290" s="15" t="s">
        <v>64</v>
      </c>
    </row>
    <row r="291" spans="1:13" ht="13.15" x14ac:dyDescent="0.45">
      <c r="A291" s="11" t="s">
        <v>436</v>
      </c>
      <c r="B291" s="36">
        <v>1</v>
      </c>
      <c r="C291" s="11" t="s">
        <v>437</v>
      </c>
      <c r="M291" s="15" t="s">
        <v>64</v>
      </c>
    </row>
    <row r="292" spans="1:13" ht="13.15" x14ac:dyDescent="0.45">
      <c r="A292" s="11" t="s">
        <v>438</v>
      </c>
      <c r="B292" s="36">
        <v>1</v>
      </c>
      <c r="M292" s="15" t="s">
        <v>64</v>
      </c>
    </row>
    <row r="293" spans="1:13" ht="13.15" x14ac:dyDescent="0.45">
      <c r="A293" s="11" t="s">
        <v>439</v>
      </c>
      <c r="B293" s="36">
        <v>3</v>
      </c>
      <c r="C293" s="11" t="s">
        <v>440</v>
      </c>
      <c r="M293" s="15" t="s">
        <v>64</v>
      </c>
    </row>
    <row r="294" spans="1:13" ht="13.15" x14ac:dyDescent="0.45">
      <c r="A294" s="11" t="s">
        <v>441</v>
      </c>
      <c r="B294" s="36">
        <v>12</v>
      </c>
      <c r="C294" s="11" t="s">
        <v>442</v>
      </c>
      <c r="M294" s="15" t="s">
        <v>64</v>
      </c>
    </row>
    <row r="295" spans="1:13" ht="13.15" x14ac:dyDescent="0.45">
      <c r="A295" s="11" t="s">
        <v>443</v>
      </c>
      <c r="B295" s="36">
        <v>8</v>
      </c>
      <c r="C295" s="11" t="s">
        <v>444</v>
      </c>
      <c r="M295" s="15" t="s">
        <v>64</v>
      </c>
    </row>
    <row r="296" spans="1:13" ht="13.15" x14ac:dyDescent="0.45">
      <c r="A296" s="11" t="s">
        <v>445</v>
      </c>
      <c r="B296" s="36">
        <v>1</v>
      </c>
      <c r="C296" s="11" t="s">
        <v>446</v>
      </c>
      <c r="M296" s="15" t="s">
        <v>64</v>
      </c>
    </row>
    <row r="297" spans="1:13" ht="13.15" x14ac:dyDescent="0.45">
      <c r="A297" s="11" t="s">
        <v>447</v>
      </c>
      <c r="B297" s="36">
        <v>5</v>
      </c>
      <c r="M297" s="15" t="s">
        <v>64</v>
      </c>
    </row>
    <row r="298" spans="1:13" ht="13.15" x14ac:dyDescent="0.45">
      <c r="A298" s="11" t="s">
        <v>448</v>
      </c>
      <c r="B298" s="36">
        <v>3</v>
      </c>
      <c r="M298" s="15" t="s">
        <v>64</v>
      </c>
    </row>
    <row r="299" spans="1:13" ht="13.15" x14ac:dyDescent="0.45">
      <c r="A299" s="11" t="s">
        <v>449</v>
      </c>
      <c r="B299" s="36">
        <v>6</v>
      </c>
      <c r="C299" s="11" t="s">
        <v>450</v>
      </c>
      <c r="M299" s="15" t="s">
        <v>64</v>
      </c>
    </row>
    <row r="300" spans="1:13" ht="13.15" x14ac:dyDescent="0.45">
      <c r="A300" s="11" t="s">
        <v>451</v>
      </c>
      <c r="B300" s="36">
        <v>13</v>
      </c>
      <c r="C300" s="11" t="s">
        <v>452</v>
      </c>
      <c r="M300" s="15" t="s">
        <v>64</v>
      </c>
    </row>
    <row r="301" spans="1:13" ht="13.15" x14ac:dyDescent="0.45">
      <c r="A301" s="11" t="s">
        <v>453</v>
      </c>
      <c r="B301" s="36">
        <v>30</v>
      </c>
      <c r="C301" s="11" t="s">
        <v>454</v>
      </c>
      <c r="M301" s="15" t="s">
        <v>64</v>
      </c>
    </row>
    <row r="302" spans="1:13" ht="13.15" x14ac:dyDescent="0.45">
      <c r="A302" s="11" t="s">
        <v>455</v>
      </c>
      <c r="B302" s="36">
        <v>1</v>
      </c>
      <c r="M302" s="15" t="s">
        <v>64</v>
      </c>
    </row>
    <row r="303" spans="1:13" ht="13.15" x14ac:dyDescent="0.45">
      <c r="A303" s="11" t="s">
        <v>456</v>
      </c>
      <c r="B303" s="36">
        <v>1</v>
      </c>
      <c r="C303" s="11" t="s">
        <v>457</v>
      </c>
      <c r="M303" s="15" t="s">
        <v>64</v>
      </c>
    </row>
    <row r="304" spans="1:13" ht="13.15" x14ac:dyDescent="0.45">
      <c r="A304" s="11" t="s">
        <v>458</v>
      </c>
      <c r="B304" s="36">
        <v>1</v>
      </c>
      <c r="M304" s="15" t="s">
        <v>64</v>
      </c>
    </row>
    <row r="305" spans="1:13" ht="13.15" x14ac:dyDescent="0.45">
      <c r="A305" s="11" t="s">
        <v>459</v>
      </c>
      <c r="B305" s="36">
        <v>9</v>
      </c>
      <c r="C305" s="11" t="s">
        <v>460</v>
      </c>
      <c r="M305" s="15" t="s">
        <v>64</v>
      </c>
    </row>
    <row r="306" spans="1:13" ht="13.15" x14ac:dyDescent="0.45">
      <c r="A306" s="11" t="s">
        <v>461</v>
      </c>
      <c r="B306" s="36">
        <v>2</v>
      </c>
      <c r="M306" s="15" t="s">
        <v>64</v>
      </c>
    </row>
    <row r="307" spans="1:13" ht="13.15" x14ac:dyDescent="0.45">
      <c r="A307" s="11" t="s">
        <v>462</v>
      </c>
      <c r="B307" s="36">
        <v>21</v>
      </c>
      <c r="C307" s="11" t="s">
        <v>463</v>
      </c>
      <c r="M307" s="15" t="s">
        <v>64</v>
      </c>
    </row>
    <row r="308" spans="1:13" ht="13.15" x14ac:dyDescent="0.45">
      <c r="A308" s="11" t="s">
        <v>464</v>
      </c>
      <c r="B308" s="36">
        <v>3</v>
      </c>
      <c r="C308" s="11" t="s">
        <v>465</v>
      </c>
      <c r="M308" s="15" t="s">
        <v>64</v>
      </c>
    </row>
    <row r="309" spans="1:13" ht="13.15" x14ac:dyDescent="0.45">
      <c r="A309" s="11" t="s">
        <v>466</v>
      </c>
      <c r="B309" s="36">
        <v>6</v>
      </c>
      <c r="C309" s="11" t="s">
        <v>467</v>
      </c>
      <c r="M309" s="15" t="s">
        <v>64</v>
      </c>
    </row>
    <row r="310" spans="1:13" ht="13.15" x14ac:dyDescent="0.45">
      <c r="A310" s="11" t="s">
        <v>468</v>
      </c>
      <c r="B310" s="36">
        <v>3</v>
      </c>
      <c r="M310" s="15" t="s">
        <v>64</v>
      </c>
    </row>
    <row r="311" spans="1:13" ht="13.15" x14ac:dyDescent="0.45">
      <c r="A311" s="11" t="s">
        <v>469</v>
      </c>
      <c r="B311" s="36">
        <v>10</v>
      </c>
      <c r="C311" s="11" t="s">
        <v>470</v>
      </c>
      <c r="M311" s="15" t="s">
        <v>64</v>
      </c>
    </row>
    <row r="312" spans="1:13" ht="13.15" x14ac:dyDescent="0.45">
      <c r="A312" s="11" t="s">
        <v>471</v>
      </c>
      <c r="B312" s="36">
        <v>16</v>
      </c>
      <c r="C312" s="11" t="s">
        <v>472</v>
      </c>
      <c r="M312" s="15" t="s">
        <v>64</v>
      </c>
    </row>
    <row r="313" spans="1:13" ht="13.15" x14ac:dyDescent="0.45">
      <c r="A313" s="11" t="s">
        <v>473</v>
      </c>
      <c r="B313" s="36">
        <v>2</v>
      </c>
      <c r="M313" s="15" t="s">
        <v>64</v>
      </c>
    </row>
    <row r="314" spans="1:13" ht="13.15" x14ac:dyDescent="0.45">
      <c r="A314" s="11" t="s">
        <v>474</v>
      </c>
      <c r="B314" s="36">
        <v>1</v>
      </c>
      <c r="M314" s="15" t="s">
        <v>64</v>
      </c>
    </row>
    <row r="315" spans="1:13" ht="13.15" x14ac:dyDescent="0.45">
      <c r="A315" s="11" t="s">
        <v>475</v>
      </c>
      <c r="B315" s="36">
        <v>5</v>
      </c>
      <c r="C315" s="11" t="s">
        <v>476</v>
      </c>
      <c r="M315" s="15" t="s">
        <v>64</v>
      </c>
    </row>
    <row r="316" spans="1:13" ht="13.15" x14ac:dyDescent="0.45">
      <c r="A316" s="11" t="s">
        <v>477</v>
      </c>
      <c r="B316" s="36">
        <v>2</v>
      </c>
      <c r="M316" s="15" t="s">
        <v>64</v>
      </c>
    </row>
    <row r="317" spans="1:13" ht="13.15" x14ac:dyDescent="0.45">
      <c r="A317" s="11" t="s">
        <v>478</v>
      </c>
      <c r="B317" s="36">
        <v>8</v>
      </c>
      <c r="C317" s="11" t="s">
        <v>479</v>
      </c>
      <c r="M317" s="15" t="s">
        <v>64</v>
      </c>
    </row>
    <row r="318" spans="1:13" ht="13.15" x14ac:dyDescent="0.45">
      <c r="A318" s="11" t="s">
        <v>480</v>
      </c>
      <c r="B318" s="36">
        <v>2</v>
      </c>
      <c r="C318" s="11" t="s">
        <v>481</v>
      </c>
      <c r="M318" s="15" t="s">
        <v>64</v>
      </c>
    </row>
    <row r="319" spans="1:13" ht="13.15" x14ac:dyDescent="0.45">
      <c r="A319" s="11" t="s">
        <v>482</v>
      </c>
      <c r="B319" s="36">
        <v>18</v>
      </c>
      <c r="C319" s="11" t="s">
        <v>483</v>
      </c>
      <c r="M319" s="15" t="s">
        <v>64</v>
      </c>
    </row>
    <row r="320" spans="1:13" ht="13.15" x14ac:dyDescent="0.45">
      <c r="A320" s="11" t="s">
        <v>484</v>
      </c>
      <c r="B320" s="36">
        <v>8</v>
      </c>
      <c r="C320" s="11" t="s">
        <v>485</v>
      </c>
      <c r="M320" s="15" t="s">
        <v>64</v>
      </c>
    </row>
    <row r="321" spans="1:13" ht="13.15" x14ac:dyDescent="0.45">
      <c r="A321" s="11" t="s">
        <v>486</v>
      </c>
      <c r="B321" s="36">
        <v>3</v>
      </c>
      <c r="M321" s="15" t="s">
        <v>64</v>
      </c>
    </row>
    <row r="322" spans="1:13" ht="13.15" x14ac:dyDescent="0.45">
      <c r="A322" s="11" t="s">
        <v>487</v>
      </c>
      <c r="B322" s="36">
        <v>2</v>
      </c>
      <c r="M322" s="15" t="s">
        <v>64</v>
      </c>
    </row>
    <row r="323" spans="1:13" ht="13.15" x14ac:dyDescent="0.45">
      <c r="A323" s="11" t="s">
        <v>488</v>
      </c>
      <c r="B323" s="36">
        <v>1</v>
      </c>
      <c r="C323" s="11" t="s">
        <v>489</v>
      </c>
      <c r="M323" s="15" t="s">
        <v>64</v>
      </c>
    </row>
    <row r="324" spans="1:13" ht="13.15" x14ac:dyDescent="0.45">
      <c r="A324" s="11" t="s">
        <v>490</v>
      </c>
      <c r="B324" s="36">
        <v>2</v>
      </c>
      <c r="C324" s="11" t="s">
        <v>491</v>
      </c>
      <c r="M324" s="15" t="s">
        <v>64</v>
      </c>
    </row>
    <row r="325" spans="1:13" ht="13.15" x14ac:dyDescent="0.45">
      <c r="A325" s="11" t="s">
        <v>492</v>
      </c>
      <c r="B325" s="36">
        <v>1</v>
      </c>
      <c r="M325" s="15" t="s">
        <v>64</v>
      </c>
    </row>
    <row r="326" spans="1:13" ht="13.15" x14ac:dyDescent="0.45">
      <c r="A326" s="11" t="s">
        <v>493</v>
      </c>
      <c r="B326" s="36">
        <v>2</v>
      </c>
      <c r="C326" s="11" t="s">
        <v>494</v>
      </c>
      <c r="M326" s="15" t="s">
        <v>64</v>
      </c>
    </row>
    <row r="327" spans="1:13" ht="13.15" x14ac:dyDescent="0.45">
      <c r="A327" s="11" t="s">
        <v>495</v>
      </c>
      <c r="B327" s="36">
        <v>4</v>
      </c>
      <c r="M327" s="15" t="s">
        <v>64</v>
      </c>
    </row>
    <row r="328" spans="1:13" ht="13.15" x14ac:dyDescent="0.45">
      <c r="A328" s="11" t="s">
        <v>496</v>
      </c>
      <c r="B328" s="36">
        <v>2</v>
      </c>
      <c r="C328" s="11" t="s">
        <v>497</v>
      </c>
      <c r="M328" s="15" t="s">
        <v>64</v>
      </c>
    </row>
    <row r="329" spans="1:13" ht="13.15" x14ac:dyDescent="0.45">
      <c r="A329" s="11" t="s">
        <v>498</v>
      </c>
      <c r="B329" s="36">
        <v>3</v>
      </c>
      <c r="C329" s="11" t="s">
        <v>499</v>
      </c>
      <c r="M329" s="15" t="s">
        <v>64</v>
      </c>
    </row>
    <row r="330" spans="1:13" ht="13.15" x14ac:dyDescent="0.45">
      <c r="A330" s="11" t="s">
        <v>500</v>
      </c>
      <c r="B330" s="36">
        <v>9</v>
      </c>
      <c r="C330" s="11" t="s">
        <v>501</v>
      </c>
      <c r="M330" s="15" t="s">
        <v>64</v>
      </c>
    </row>
    <row r="331" spans="1:13" ht="13.15" x14ac:dyDescent="0.45">
      <c r="A331" s="11" t="s">
        <v>502</v>
      </c>
      <c r="B331" s="36">
        <v>5</v>
      </c>
      <c r="M331" s="15" t="s">
        <v>64</v>
      </c>
    </row>
    <row r="332" spans="1:13" ht="13.15" x14ac:dyDescent="0.45">
      <c r="A332" s="11" t="s">
        <v>503</v>
      </c>
      <c r="B332" s="36">
        <v>2</v>
      </c>
      <c r="C332" s="11" t="s">
        <v>504</v>
      </c>
      <c r="M332" s="15" t="s">
        <v>64</v>
      </c>
    </row>
    <row r="333" spans="1:13" ht="13.15" x14ac:dyDescent="0.45">
      <c r="A333" s="11" t="s">
        <v>505</v>
      </c>
      <c r="B333" s="36">
        <v>10</v>
      </c>
      <c r="C333" s="11" t="s">
        <v>506</v>
      </c>
      <c r="M333" s="15" t="s">
        <v>64</v>
      </c>
    </row>
    <row r="334" spans="1:13" ht="13.15" x14ac:dyDescent="0.45">
      <c r="A334" s="11" t="s">
        <v>507</v>
      </c>
      <c r="B334" s="36">
        <v>26</v>
      </c>
      <c r="C334" s="11" t="s">
        <v>508</v>
      </c>
      <c r="M334" s="15" t="s">
        <v>64</v>
      </c>
    </row>
    <row r="335" spans="1:13" ht="13.15" x14ac:dyDescent="0.45">
      <c r="A335" s="11" t="s">
        <v>509</v>
      </c>
      <c r="B335" s="36">
        <v>5</v>
      </c>
      <c r="C335" s="11" t="s">
        <v>510</v>
      </c>
      <c r="M335" s="15" t="s">
        <v>64</v>
      </c>
    </row>
    <row r="336" spans="1:13" ht="13.15" x14ac:dyDescent="0.45">
      <c r="A336" s="11" t="s">
        <v>511</v>
      </c>
      <c r="B336" s="36">
        <v>9</v>
      </c>
      <c r="C336" s="11" t="s">
        <v>512</v>
      </c>
      <c r="M336" s="15" t="s">
        <v>64</v>
      </c>
    </row>
    <row r="337" spans="1:13" ht="13.15" x14ac:dyDescent="0.45">
      <c r="A337" s="11" t="s">
        <v>513</v>
      </c>
      <c r="B337" s="36">
        <v>3</v>
      </c>
      <c r="C337" s="11" t="s">
        <v>514</v>
      </c>
      <c r="M337" s="15" t="s">
        <v>64</v>
      </c>
    </row>
    <row r="338" spans="1:13" ht="13.15" x14ac:dyDescent="0.45">
      <c r="A338" s="11" t="s">
        <v>515</v>
      </c>
      <c r="B338" s="36">
        <v>7</v>
      </c>
      <c r="C338" s="11" t="s">
        <v>516</v>
      </c>
      <c r="M338" s="15" t="s">
        <v>64</v>
      </c>
    </row>
    <row r="339" spans="1:13" ht="13.15" x14ac:dyDescent="0.45">
      <c r="A339" s="11" t="s">
        <v>517</v>
      </c>
      <c r="B339" s="36">
        <v>4</v>
      </c>
      <c r="M339" s="15" t="s">
        <v>64</v>
      </c>
    </row>
    <row r="340" spans="1:13" ht="13.15" x14ac:dyDescent="0.45">
      <c r="A340" s="11" t="s">
        <v>518</v>
      </c>
      <c r="B340" s="36">
        <v>31</v>
      </c>
      <c r="C340" s="11" t="s">
        <v>519</v>
      </c>
      <c r="M340" s="15" t="s">
        <v>64</v>
      </c>
    </row>
    <row r="341" spans="1:13" ht="13.15" x14ac:dyDescent="0.45">
      <c r="A341" s="11" t="s">
        <v>520</v>
      </c>
      <c r="B341" s="36">
        <v>7</v>
      </c>
      <c r="M341" s="15" t="s">
        <v>64</v>
      </c>
    </row>
    <row r="342" spans="1:13" ht="13.15" x14ac:dyDescent="0.45">
      <c r="A342" s="11" t="s">
        <v>521</v>
      </c>
      <c r="B342" s="36">
        <v>3</v>
      </c>
      <c r="C342" s="11" t="s">
        <v>522</v>
      </c>
      <c r="M342" s="15" t="s">
        <v>64</v>
      </c>
    </row>
    <row r="343" spans="1:13" ht="13.15" x14ac:dyDescent="0.45">
      <c r="A343" s="11" t="s">
        <v>523</v>
      </c>
      <c r="B343" s="36">
        <v>9</v>
      </c>
      <c r="C343" s="11" t="s">
        <v>524</v>
      </c>
      <c r="M343" s="15" t="s">
        <v>64</v>
      </c>
    </row>
    <row r="344" spans="1:13" ht="13.15" x14ac:dyDescent="0.45">
      <c r="A344" s="11" t="s">
        <v>525</v>
      </c>
      <c r="B344" s="36">
        <v>1</v>
      </c>
      <c r="C344" s="11" t="s">
        <v>526</v>
      </c>
      <c r="M344" s="15" t="s">
        <v>64</v>
      </c>
    </row>
    <row r="345" spans="1:13" ht="13.15" x14ac:dyDescent="0.45">
      <c r="A345" s="11" t="s">
        <v>527</v>
      </c>
      <c r="B345" s="36">
        <v>16</v>
      </c>
      <c r="C345" s="11" t="s">
        <v>528</v>
      </c>
      <c r="M345" s="15" t="s">
        <v>64</v>
      </c>
    </row>
    <row r="346" spans="1:13" ht="13.15" x14ac:dyDescent="0.45">
      <c r="A346" s="11" t="s">
        <v>529</v>
      </c>
      <c r="B346" s="36">
        <v>3</v>
      </c>
      <c r="C346" s="11" t="s">
        <v>530</v>
      </c>
      <c r="M346" s="15" t="s">
        <v>64</v>
      </c>
    </row>
    <row r="347" spans="1:13" ht="13.15" x14ac:dyDescent="0.45">
      <c r="A347" s="11" t="s">
        <v>531</v>
      </c>
      <c r="B347" s="36">
        <v>5</v>
      </c>
      <c r="M347" s="15" t="s">
        <v>64</v>
      </c>
    </row>
    <row r="348" spans="1:13" ht="13.15" x14ac:dyDescent="0.45">
      <c r="A348" s="11" t="s">
        <v>532</v>
      </c>
      <c r="B348" s="36">
        <v>7</v>
      </c>
      <c r="C348" s="11" t="s">
        <v>533</v>
      </c>
      <c r="M348" s="15" t="s">
        <v>64</v>
      </c>
    </row>
    <row r="349" spans="1:13" ht="13.15" x14ac:dyDescent="0.45">
      <c r="A349" s="11" t="s">
        <v>534</v>
      </c>
      <c r="B349" s="36">
        <v>1</v>
      </c>
      <c r="C349" s="11" t="s">
        <v>535</v>
      </c>
      <c r="M349" s="15" t="s">
        <v>64</v>
      </c>
    </row>
    <row r="350" spans="1:13" ht="13.15" x14ac:dyDescent="0.45">
      <c r="A350" s="11" t="s">
        <v>536</v>
      </c>
      <c r="B350" s="36">
        <v>1</v>
      </c>
      <c r="M350" s="15" t="s">
        <v>64</v>
      </c>
    </row>
    <row r="351" spans="1:13" ht="13.15" x14ac:dyDescent="0.45">
      <c r="A351" s="11" t="s">
        <v>537</v>
      </c>
      <c r="B351" s="36">
        <v>2</v>
      </c>
      <c r="C351" s="11" t="s">
        <v>538</v>
      </c>
      <c r="M351" s="15" t="s">
        <v>64</v>
      </c>
    </row>
    <row r="352" spans="1:13" ht="13.15" x14ac:dyDescent="0.45">
      <c r="A352" s="11" t="s">
        <v>539</v>
      </c>
      <c r="B352" s="36">
        <v>3</v>
      </c>
      <c r="C352" s="11" t="s">
        <v>540</v>
      </c>
      <c r="M352" s="15" t="s">
        <v>64</v>
      </c>
    </row>
    <row r="353" spans="1:13" ht="13.15" x14ac:dyDescent="0.45">
      <c r="A353" s="11" t="s">
        <v>541</v>
      </c>
      <c r="B353" s="36">
        <v>3</v>
      </c>
      <c r="C353" s="11" t="s">
        <v>542</v>
      </c>
      <c r="M353" s="15" t="s">
        <v>64</v>
      </c>
    </row>
    <row r="354" spans="1:13" ht="13.15" x14ac:dyDescent="0.45">
      <c r="A354" s="11" t="s">
        <v>543</v>
      </c>
      <c r="B354" s="36">
        <v>3</v>
      </c>
      <c r="M354" s="15" t="s">
        <v>64</v>
      </c>
    </row>
    <row r="355" spans="1:13" ht="13.15" x14ac:dyDescent="0.45">
      <c r="A355" s="11" t="s">
        <v>544</v>
      </c>
      <c r="B355" s="36">
        <v>6</v>
      </c>
      <c r="M355" s="15" t="s">
        <v>64</v>
      </c>
    </row>
    <row r="356" spans="1:13" ht="13.15" x14ac:dyDescent="0.45">
      <c r="A356" s="11" t="s">
        <v>545</v>
      </c>
      <c r="B356" s="36">
        <v>2</v>
      </c>
      <c r="C356" s="11" t="s">
        <v>546</v>
      </c>
      <c r="M356" s="15" t="s">
        <v>64</v>
      </c>
    </row>
    <row r="357" spans="1:13" ht="13.15" x14ac:dyDescent="0.45">
      <c r="A357" s="11" t="s">
        <v>547</v>
      </c>
      <c r="B357" s="36">
        <v>1</v>
      </c>
      <c r="M357" s="15" t="s">
        <v>64</v>
      </c>
    </row>
    <row r="358" spans="1:13" ht="13.15" x14ac:dyDescent="0.45">
      <c r="A358" s="11" t="s">
        <v>548</v>
      </c>
      <c r="B358" s="36">
        <v>1</v>
      </c>
      <c r="M358" s="15" t="s">
        <v>64</v>
      </c>
    </row>
    <row r="359" spans="1:13" ht="13.15" x14ac:dyDescent="0.45">
      <c r="A359" s="11" t="s">
        <v>549</v>
      </c>
      <c r="B359" s="36">
        <v>3</v>
      </c>
      <c r="C359" s="11" t="s">
        <v>550</v>
      </c>
      <c r="M359" s="15" t="s">
        <v>64</v>
      </c>
    </row>
    <row r="360" spans="1:13" ht="13.15" x14ac:dyDescent="0.45">
      <c r="A360" s="11" t="s">
        <v>551</v>
      </c>
      <c r="B360" s="36">
        <v>3</v>
      </c>
      <c r="M360" s="15" t="s">
        <v>64</v>
      </c>
    </row>
    <row r="361" spans="1:13" ht="13.15" x14ac:dyDescent="0.45">
      <c r="A361" s="11" t="s">
        <v>552</v>
      </c>
      <c r="B361" s="36">
        <v>6</v>
      </c>
      <c r="M361" s="15" t="s">
        <v>64</v>
      </c>
    </row>
    <row r="362" spans="1:13" ht="13.15" x14ac:dyDescent="0.45">
      <c r="A362" s="11" t="s">
        <v>553</v>
      </c>
      <c r="B362" s="36">
        <v>2</v>
      </c>
      <c r="M362" s="15" t="s">
        <v>64</v>
      </c>
    </row>
    <row r="363" spans="1:13" ht="13.15" x14ac:dyDescent="0.45">
      <c r="A363" s="11" t="s">
        <v>554</v>
      </c>
      <c r="B363" s="36">
        <v>13</v>
      </c>
      <c r="C363" s="11" t="s">
        <v>555</v>
      </c>
      <c r="M363" s="15" t="s">
        <v>64</v>
      </c>
    </row>
    <row r="364" spans="1:13" ht="13.15" x14ac:dyDescent="0.45">
      <c r="A364" s="11" t="s">
        <v>556</v>
      </c>
      <c r="B364" s="36">
        <v>2</v>
      </c>
      <c r="M364" s="15" t="s">
        <v>64</v>
      </c>
    </row>
    <row r="365" spans="1:13" ht="13.15" x14ac:dyDescent="0.45">
      <c r="A365" s="11" t="s">
        <v>557</v>
      </c>
      <c r="B365" s="36">
        <v>3</v>
      </c>
      <c r="C365" s="11" t="s">
        <v>558</v>
      </c>
      <c r="M365" s="15" t="s">
        <v>64</v>
      </c>
    </row>
    <row r="366" spans="1:13" ht="13.15" x14ac:dyDescent="0.45">
      <c r="A366" s="11" t="s">
        <v>559</v>
      </c>
      <c r="B366" s="36">
        <v>1</v>
      </c>
      <c r="C366" s="11" t="s">
        <v>560</v>
      </c>
      <c r="M366" s="15" t="s">
        <v>64</v>
      </c>
    </row>
    <row r="367" spans="1:13" ht="13.15" x14ac:dyDescent="0.45">
      <c r="A367" s="11" t="s">
        <v>561</v>
      </c>
      <c r="B367" s="36">
        <v>10</v>
      </c>
      <c r="C367" s="11" t="s">
        <v>562</v>
      </c>
      <c r="M367" s="15" t="s">
        <v>64</v>
      </c>
    </row>
    <row r="368" spans="1:13" ht="13.15" x14ac:dyDescent="0.45">
      <c r="A368" s="11" t="s">
        <v>563</v>
      </c>
      <c r="B368" s="36">
        <v>30</v>
      </c>
      <c r="C368" s="11" t="s">
        <v>564</v>
      </c>
      <c r="M368" s="15" t="s">
        <v>64</v>
      </c>
    </row>
    <row r="369" spans="1:13" ht="13.15" x14ac:dyDescent="0.45">
      <c r="A369" s="11" t="s">
        <v>565</v>
      </c>
      <c r="B369" s="36">
        <v>1</v>
      </c>
      <c r="C369" s="11" t="s">
        <v>566</v>
      </c>
      <c r="M369" s="15" t="s">
        <v>64</v>
      </c>
    </row>
    <row r="370" spans="1:13" ht="13.15" x14ac:dyDescent="0.45">
      <c r="A370" s="11" t="s">
        <v>567</v>
      </c>
      <c r="B370" s="36">
        <v>6</v>
      </c>
      <c r="C370" s="11" t="s">
        <v>568</v>
      </c>
      <c r="M370" s="15" t="s">
        <v>64</v>
      </c>
    </row>
    <row r="371" spans="1:13" ht="13.15" x14ac:dyDescent="0.45">
      <c r="A371" s="11" t="s">
        <v>569</v>
      </c>
      <c r="B371" s="36">
        <v>2</v>
      </c>
      <c r="C371" s="11" t="s">
        <v>570</v>
      </c>
      <c r="M371" s="15" t="s">
        <v>64</v>
      </c>
    </row>
    <row r="372" spans="1:13" ht="13.15" x14ac:dyDescent="0.45">
      <c r="A372" s="11" t="s">
        <v>571</v>
      </c>
      <c r="B372" s="36">
        <v>19</v>
      </c>
      <c r="C372" s="11" t="s">
        <v>572</v>
      </c>
      <c r="M372" s="15" t="s">
        <v>64</v>
      </c>
    </row>
    <row r="373" spans="1:13" ht="13.15" x14ac:dyDescent="0.45">
      <c r="A373" s="11" t="s">
        <v>573</v>
      </c>
      <c r="B373" s="36">
        <v>4</v>
      </c>
      <c r="M373" s="15" t="s">
        <v>64</v>
      </c>
    </row>
    <row r="374" spans="1:13" ht="13.15" x14ac:dyDescent="0.45">
      <c r="A374" s="11" t="s">
        <v>574</v>
      </c>
      <c r="B374" s="36">
        <v>11</v>
      </c>
      <c r="C374" s="11" t="s">
        <v>575</v>
      </c>
      <c r="M374" s="15" t="s">
        <v>64</v>
      </c>
    </row>
    <row r="375" spans="1:13" ht="13.15" x14ac:dyDescent="0.45">
      <c r="A375" s="11" t="s">
        <v>576</v>
      </c>
      <c r="B375" s="36">
        <v>17</v>
      </c>
      <c r="C375" s="11" t="s">
        <v>577</v>
      </c>
      <c r="M375" s="15" t="s">
        <v>64</v>
      </c>
    </row>
    <row r="376" spans="1:13" ht="13.15" x14ac:dyDescent="0.45">
      <c r="A376" s="11" t="s">
        <v>578</v>
      </c>
      <c r="B376" s="36">
        <v>3</v>
      </c>
      <c r="C376" s="11" t="s">
        <v>579</v>
      </c>
      <c r="M376" s="15" t="s">
        <v>64</v>
      </c>
    </row>
    <row r="377" spans="1:13" ht="13.15" x14ac:dyDescent="0.45">
      <c r="A377" s="11" t="s">
        <v>580</v>
      </c>
      <c r="B377" s="36">
        <v>4</v>
      </c>
      <c r="C377" s="11" t="s">
        <v>581</v>
      </c>
      <c r="M377" s="15" t="s">
        <v>64</v>
      </c>
    </row>
    <row r="378" spans="1:13" ht="13.15" x14ac:dyDescent="0.45">
      <c r="A378" s="11" t="s">
        <v>582</v>
      </c>
      <c r="B378" s="36">
        <v>7</v>
      </c>
      <c r="C378" s="11" t="s">
        <v>583</v>
      </c>
      <c r="M378" s="15" t="s">
        <v>64</v>
      </c>
    </row>
    <row r="379" spans="1:13" ht="13.15" x14ac:dyDescent="0.45">
      <c r="A379" s="11" t="s">
        <v>584</v>
      </c>
      <c r="B379" s="36">
        <v>19</v>
      </c>
      <c r="C379" s="11" t="s">
        <v>585</v>
      </c>
      <c r="M379" s="15" t="s">
        <v>64</v>
      </c>
    </row>
    <row r="380" spans="1:13" ht="13.15" x14ac:dyDescent="0.45">
      <c r="A380" s="11" t="s">
        <v>586</v>
      </c>
      <c r="B380" s="36">
        <v>21</v>
      </c>
      <c r="C380" s="11" t="s">
        <v>587</v>
      </c>
      <c r="M380" s="15" t="s">
        <v>64</v>
      </c>
    </row>
    <row r="381" spans="1:13" ht="13.15" x14ac:dyDescent="0.45">
      <c r="A381" s="11" t="s">
        <v>588</v>
      </c>
      <c r="C381" s="11" t="s">
        <v>587</v>
      </c>
    </row>
    <row r="382" spans="1:13" ht="13.15" x14ac:dyDescent="0.45">
      <c r="A382" s="11" t="s">
        <v>589</v>
      </c>
      <c r="B382" s="36">
        <v>12</v>
      </c>
      <c r="C382" s="11" t="s">
        <v>590</v>
      </c>
      <c r="M382" s="15" t="s">
        <v>64</v>
      </c>
    </row>
    <row r="383" spans="1:13" ht="13.15" x14ac:dyDescent="0.45">
      <c r="A383" s="11" t="s">
        <v>591</v>
      </c>
      <c r="B383" s="36">
        <v>2</v>
      </c>
      <c r="M383" s="15" t="s">
        <v>64</v>
      </c>
    </row>
    <row r="384" spans="1:13" ht="13.15" x14ac:dyDescent="0.45">
      <c r="A384" s="11" t="s">
        <v>592</v>
      </c>
      <c r="B384" s="36">
        <v>4</v>
      </c>
      <c r="M384" s="15" t="s">
        <v>64</v>
      </c>
    </row>
    <row r="385" spans="1:13" ht="13.15" x14ac:dyDescent="0.45">
      <c r="A385" s="11" t="s">
        <v>593</v>
      </c>
      <c r="B385" s="36">
        <v>2</v>
      </c>
      <c r="C385" s="11" t="s">
        <v>594</v>
      </c>
      <c r="M385" s="15" t="s">
        <v>64</v>
      </c>
    </row>
    <row r="386" spans="1:13" ht="13.15" x14ac:dyDescent="0.45">
      <c r="A386" s="11" t="s">
        <v>595</v>
      </c>
      <c r="B386" s="36">
        <v>3</v>
      </c>
      <c r="C386" s="11" t="s">
        <v>596</v>
      </c>
      <c r="M386" s="15" t="s">
        <v>64</v>
      </c>
    </row>
    <row r="387" spans="1:13" ht="13.15" x14ac:dyDescent="0.45">
      <c r="A387" s="11" t="s">
        <v>597</v>
      </c>
      <c r="B387" s="36">
        <v>4</v>
      </c>
      <c r="M387" s="15" t="s">
        <v>64</v>
      </c>
    </row>
    <row r="388" spans="1:13" ht="13.15" x14ac:dyDescent="0.45">
      <c r="A388" s="11" t="s">
        <v>598</v>
      </c>
      <c r="B388" s="36">
        <v>1</v>
      </c>
      <c r="C388" s="11" t="s">
        <v>599</v>
      </c>
      <c r="M388" s="15" t="s">
        <v>64</v>
      </c>
    </row>
    <row r="389" spans="1:13" ht="13.15" x14ac:dyDescent="0.45">
      <c r="A389" s="11" t="s">
        <v>600</v>
      </c>
      <c r="B389" s="36">
        <v>3</v>
      </c>
      <c r="M389" s="15" t="s">
        <v>64</v>
      </c>
    </row>
    <row r="390" spans="1:13" ht="13.15" x14ac:dyDescent="0.45">
      <c r="A390" s="11" t="s">
        <v>601</v>
      </c>
      <c r="B390" s="36">
        <v>6</v>
      </c>
      <c r="M390" s="15" t="s">
        <v>64</v>
      </c>
    </row>
    <row r="391" spans="1:13" ht="13.15" x14ac:dyDescent="0.45">
      <c r="A391" s="11" t="s">
        <v>602</v>
      </c>
      <c r="B391" s="36">
        <v>9</v>
      </c>
      <c r="M391" s="15" t="s">
        <v>64</v>
      </c>
    </row>
    <row r="392" spans="1:13" ht="13.15" x14ac:dyDescent="0.45">
      <c r="A392" s="11" t="s">
        <v>603</v>
      </c>
      <c r="B392" s="36">
        <v>3</v>
      </c>
      <c r="C392" s="11" t="s">
        <v>604</v>
      </c>
      <c r="M392" s="15" t="s">
        <v>64</v>
      </c>
    </row>
    <row r="393" spans="1:13" ht="13.15" x14ac:dyDescent="0.45">
      <c r="A393" s="11" t="s">
        <v>605</v>
      </c>
      <c r="B393" s="36">
        <v>14</v>
      </c>
      <c r="C393" s="11" t="s">
        <v>606</v>
      </c>
      <c r="M393" s="15" t="s">
        <v>64</v>
      </c>
    </row>
    <row r="394" spans="1:13" ht="13.15" x14ac:dyDescent="0.45">
      <c r="A394" s="11" t="s">
        <v>607</v>
      </c>
      <c r="B394" s="36">
        <v>3</v>
      </c>
      <c r="M394" s="15" t="s">
        <v>64</v>
      </c>
    </row>
    <row r="395" spans="1:13" ht="13.15" x14ac:dyDescent="0.45">
      <c r="A395" s="11" t="s">
        <v>608</v>
      </c>
      <c r="B395" s="36">
        <v>11</v>
      </c>
      <c r="C395" s="11" t="s">
        <v>609</v>
      </c>
      <c r="M395" s="15" t="s">
        <v>64</v>
      </c>
    </row>
    <row r="396" spans="1:13" ht="13.15" x14ac:dyDescent="0.45">
      <c r="A396" s="11" t="s">
        <v>610</v>
      </c>
      <c r="B396" s="36">
        <v>2</v>
      </c>
      <c r="M396" s="15" t="s">
        <v>64</v>
      </c>
    </row>
    <row r="397" spans="1:13" ht="13.15" x14ac:dyDescent="0.45">
      <c r="A397" s="11" t="s">
        <v>611</v>
      </c>
      <c r="B397" s="36">
        <v>24</v>
      </c>
      <c r="C397" s="11" t="s">
        <v>612</v>
      </c>
      <c r="M397" s="15" t="s">
        <v>64</v>
      </c>
    </row>
    <row r="398" spans="1:13" ht="13.15" x14ac:dyDescent="0.45">
      <c r="A398" s="11" t="s">
        <v>613</v>
      </c>
      <c r="B398" s="36">
        <v>1</v>
      </c>
      <c r="M398" s="15" t="s">
        <v>64</v>
      </c>
    </row>
    <row r="399" spans="1:13" ht="13.15" x14ac:dyDescent="0.45">
      <c r="A399" s="11" t="s">
        <v>614</v>
      </c>
      <c r="B399" s="36">
        <v>1</v>
      </c>
      <c r="M399" s="15" t="s">
        <v>64</v>
      </c>
    </row>
    <row r="400" spans="1:13" ht="13.15" x14ac:dyDescent="0.45">
      <c r="A400" s="11" t="s">
        <v>615</v>
      </c>
      <c r="B400" s="36">
        <v>18</v>
      </c>
      <c r="C400" s="11" t="s">
        <v>616</v>
      </c>
      <c r="M400" s="15" t="s">
        <v>64</v>
      </c>
    </row>
    <row r="401" spans="1:13" ht="13.15" x14ac:dyDescent="0.45">
      <c r="A401" s="11" t="s">
        <v>617</v>
      </c>
      <c r="B401" s="36">
        <v>17</v>
      </c>
      <c r="C401" s="11" t="s">
        <v>618</v>
      </c>
      <c r="M401" s="15" t="s">
        <v>64</v>
      </c>
    </row>
    <row r="402" spans="1:13" ht="13.15" x14ac:dyDescent="0.45">
      <c r="A402" s="11" t="s">
        <v>619</v>
      </c>
      <c r="B402" s="36">
        <v>5</v>
      </c>
      <c r="M402" s="15" t="s">
        <v>64</v>
      </c>
    </row>
    <row r="403" spans="1:13" ht="13.15" x14ac:dyDescent="0.45">
      <c r="A403" s="11" t="s">
        <v>620</v>
      </c>
      <c r="B403" s="36">
        <v>3</v>
      </c>
      <c r="M403" s="15" t="s">
        <v>64</v>
      </c>
    </row>
    <row r="404" spans="1:13" ht="13.15" x14ac:dyDescent="0.45">
      <c r="A404" s="11" t="s">
        <v>621</v>
      </c>
      <c r="B404" s="36">
        <v>6</v>
      </c>
      <c r="C404" s="11" t="s">
        <v>622</v>
      </c>
      <c r="M404" s="15" t="s">
        <v>64</v>
      </c>
    </row>
    <row r="405" spans="1:13" ht="13.15" x14ac:dyDescent="0.45">
      <c r="A405" s="11" t="s">
        <v>623</v>
      </c>
      <c r="B405" s="36">
        <v>11</v>
      </c>
      <c r="C405" s="11" t="s">
        <v>624</v>
      </c>
      <c r="M405" s="15" t="s">
        <v>64</v>
      </c>
    </row>
    <row r="406" spans="1:13" ht="13.15" x14ac:dyDescent="0.45">
      <c r="A406" s="11" t="s">
        <v>625</v>
      </c>
      <c r="B406" s="36">
        <v>2</v>
      </c>
      <c r="M406" s="15" t="s">
        <v>64</v>
      </c>
    </row>
    <row r="407" spans="1:13" ht="13.15" x14ac:dyDescent="0.45">
      <c r="A407" s="11" t="s">
        <v>626</v>
      </c>
      <c r="B407" s="36">
        <v>71</v>
      </c>
      <c r="C407" s="11" t="s">
        <v>627</v>
      </c>
      <c r="M407" s="15" t="s">
        <v>64</v>
      </c>
    </row>
    <row r="408" spans="1:13" ht="13.15" x14ac:dyDescent="0.45">
      <c r="A408" s="11" t="s">
        <v>628</v>
      </c>
      <c r="B408" s="36">
        <v>8</v>
      </c>
      <c r="C408" s="11" t="s">
        <v>628</v>
      </c>
      <c r="M408" s="15" t="s">
        <v>64</v>
      </c>
    </row>
    <row r="409" spans="1:13" ht="13.15" x14ac:dyDescent="0.45">
      <c r="A409" s="11" t="s">
        <v>629</v>
      </c>
      <c r="B409" s="36">
        <v>15</v>
      </c>
      <c r="C409" s="11" t="s">
        <v>630</v>
      </c>
      <c r="M409" s="15" t="s">
        <v>64</v>
      </c>
    </row>
    <row r="410" spans="1:13" ht="13.15" x14ac:dyDescent="0.45">
      <c r="A410" s="11" t="s">
        <v>631</v>
      </c>
      <c r="B410" s="36">
        <v>10</v>
      </c>
      <c r="C410" s="11" t="s">
        <v>632</v>
      </c>
      <c r="M410" s="15" t="s">
        <v>64</v>
      </c>
    </row>
    <row r="411" spans="1:13" ht="13.15" x14ac:dyDescent="0.45">
      <c r="A411" s="11" t="s">
        <v>633</v>
      </c>
      <c r="B411" s="36">
        <v>1</v>
      </c>
      <c r="M411" s="15" t="s">
        <v>64</v>
      </c>
    </row>
    <row r="412" spans="1:13" ht="13.15" x14ac:dyDescent="0.45">
      <c r="A412" s="11" t="s">
        <v>634</v>
      </c>
      <c r="B412" s="36">
        <v>53</v>
      </c>
      <c r="C412" s="11" t="s">
        <v>635</v>
      </c>
      <c r="M412" s="15" t="s">
        <v>64</v>
      </c>
    </row>
    <row r="413" spans="1:13" ht="13.15" x14ac:dyDescent="0.45">
      <c r="A413" s="11" t="s">
        <v>636</v>
      </c>
      <c r="B413" s="36">
        <v>16</v>
      </c>
      <c r="C413" s="11" t="s">
        <v>637</v>
      </c>
      <c r="M413" s="15" t="s">
        <v>64</v>
      </c>
    </row>
    <row r="414" spans="1:13" ht="13.15" x14ac:dyDescent="0.45">
      <c r="A414" s="11" t="s">
        <v>638</v>
      </c>
      <c r="B414" s="36">
        <v>1</v>
      </c>
      <c r="M414" s="15" t="s">
        <v>64</v>
      </c>
    </row>
    <row r="415" spans="1:13" ht="13.15" x14ac:dyDescent="0.45">
      <c r="A415" s="11" t="s">
        <v>639</v>
      </c>
      <c r="B415" s="36">
        <v>4</v>
      </c>
      <c r="C415" s="11" t="s">
        <v>640</v>
      </c>
      <c r="M415" s="15" t="s">
        <v>64</v>
      </c>
    </row>
    <row r="416" spans="1:13" ht="13.15" x14ac:dyDescent="0.45">
      <c r="A416" s="11" t="s">
        <v>641</v>
      </c>
      <c r="B416" s="36">
        <v>1</v>
      </c>
      <c r="C416" s="11" t="s">
        <v>642</v>
      </c>
      <c r="M416" s="15" t="s">
        <v>64</v>
      </c>
    </row>
    <row r="417" spans="1:13" ht="13.15" x14ac:dyDescent="0.45">
      <c r="A417" s="11" t="s">
        <v>643</v>
      </c>
      <c r="B417" s="36">
        <v>1</v>
      </c>
      <c r="M417" s="15" t="s">
        <v>64</v>
      </c>
    </row>
    <row r="418" spans="1:13" ht="13.15" x14ac:dyDescent="0.45">
      <c r="A418" s="11" t="s">
        <v>644</v>
      </c>
      <c r="B418" s="36">
        <v>1</v>
      </c>
      <c r="M418" s="15" t="s">
        <v>64</v>
      </c>
    </row>
    <row r="419" spans="1:13" ht="13.15" x14ac:dyDescent="0.45">
      <c r="A419" s="11" t="s">
        <v>645</v>
      </c>
      <c r="B419" s="36">
        <v>1</v>
      </c>
      <c r="M419" s="15" t="s">
        <v>64</v>
      </c>
    </row>
    <row r="420" spans="1:13" ht="13.15" x14ac:dyDescent="0.45">
      <c r="A420" s="11" t="s">
        <v>646</v>
      </c>
      <c r="B420" s="36">
        <v>1</v>
      </c>
      <c r="C420" s="11" t="s">
        <v>647</v>
      </c>
      <c r="M420" s="15" t="s">
        <v>64</v>
      </c>
    </row>
    <row r="421" spans="1:13" ht="13.15" x14ac:dyDescent="0.45">
      <c r="A421" s="11" t="s">
        <v>648</v>
      </c>
      <c r="B421" s="36">
        <v>1</v>
      </c>
      <c r="M421" s="15" t="s">
        <v>64</v>
      </c>
    </row>
    <row r="422" spans="1:13" ht="13.15" x14ac:dyDescent="0.45">
      <c r="A422" s="11" t="s">
        <v>649</v>
      </c>
      <c r="B422" s="36">
        <v>1</v>
      </c>
      <c r="M422" s="15" t="s">
        <v>64</v>
      </c>
    </row>
    <row r="423" spans="1:13" ht="13.15" x14ac:dyDescent="0.45">
      <c r="A423" s="11" t="s">
        <v>650</v>
      </c>
      <c r="B423" s="36">
        <v>4</v>
      </c>
      <c r="C423" s="11" t="s">
        <v>651</v>
      </c>
      <c r="M423" s="15" t="s">
        <v>64</v>
      </c>
    </row>
    <row r="424" spans="1:13" ht="13.15" x14ac:dyDescent="0.45">
      <c r="A424" s="11" t="s">
        <v>652</v>
      </c>
      <c r="B424" s="36">
        <v>2</v>
      </c>
      <c r="M424" s="15" t="s">
        <v>64</v>
      </c>
    </row>
    <row r="425" spans="1:13" ht="13.15" x14ac:dyDescent="0.45">
      <c r="A425" s="11" t="s">
        <v>653</v>
      </c>
      <c r="B425" s="36">
        <v>25</v>
      </c>
      <c r="C425" s="11" t="s">
        <v>654</v>
      </c>
      <c r="M425" s="15" t="s">
        <v>64</v>
      </c>
    </row>
    <row r="426" spans="1:13" ht="13.15" x14ac:dyDescent="0.45">
      <c r="A426" s="11" t="s">
        <v>655</v>
      </c>
      <c r="B426" s="36">
        <v>2</v>
      </c>
      <c r="M426" s="15" t="s">
        <v>64</v>
      </c>
    </row>
    <row r="427" spans="1:13" ht="13.15" x14ac:dyDescent="0.45">
      <c r="A427" s="11" t="s">
        <v>656</v>
      </c>
      <c r="B427" s="36">
        <v>1</v>
      </c>
      <c r="M427" s="15" t="s">
        <v>64</v>
      </c>
    </row>
    <row r="428" spans="1:13" ht="13.15" x14ac:dyDescent="0.45">
      <c r="A428" s="11" t="s">
        <v>657</v>
      </c>
      <c r="B428" s="36">
        <v>2</v>
      </c>
      <c r="M428" s="15" t="s">
        <v>64</v>
      </c>
    </row>
    <row r="429" spans="1:13" ht="13.15" x14ac:dyDescent="0.45">
      <c r="A429" s="11" t="s">
        <v>658</v>
      </c>
      <c r="B429" s="36">
        <v>28</v>
      </c>
      <c r="C429" s="11" t="s">
        <v>659</v>
      </c>
      <c r="M429" s="15" t="s">
        <v>64</v>
      </c>
    </row>
    <row r="430" spans="1:13" ht="13.15" x14ac:dyDescent="0.45">
      <c r="A430" s="11" t="s">
        <v>660</v>
      </c>
      <c r="B430" s="36">
        <v>4</v>
      </c>
      <c r="C430" s="11" t="s">
        <v>661</v>
      </c>
      <c r="M430" s="15" t="s">
        <v>64</v>
      </c>
    </row>
    <row r="431" spans="1:13" ht="13.15" x14ac:dyDescent="0.45">
      <c r="A431" s="11" t="s">
        <v>662</v>
      </c>
      <c r="B431" s="36">
        <v>7</v>
      </c>
      <c r="C431" s="11" t="s">
        <v>663</v>
      </c>
      <c r="M431" s="15" t="s">
        <v>64</v>
      </c>
    </row>
    <row r="432" spans="1:13" ht="13.15" x14ac:dyDescent="0.45">
      <c r="A432" s="11" t="s">
        <v>664</v>
      </c>
      <c r="B432" s="36">
        <v>9</v>
      </c>
      <c r="M432" s="15" t="s">
        <v>64</v>
      </c>
    </row>
    <row r="433" spans="1:13" ht="13.15" x14ac:dyDescent="0.45">
      <c r="A433" s="11" t="s">
        <v>665</v>
      </c>
      <c r="B433" s="36">
        <v>4</v>
      </c>
      <c r="M433" s="15" t="s">
        <v>64</v>
      </c>
    </row>
    <row r="434" spans="1:13" ht="13.15" x14ac:dyDescent="0.45">
      <c r="A434" s="11" t="s">
        <v>666</v>
      </c>
      <c r="B434" s="36">
        <v>1</v>
      </c>
      <c r="C434" s="11" t="s">
        <v>667</v>
      </c>
      <c r="M434" s="15" t="s">
        <v>64</v>
      </c>
    </row>
    <row r="435" spans="1:13" ht="13.15" x14ac:dyDescent="0.45">
      <c r="A435" s="11" t="s">
        <v>668</v>
      </c>
      <c r="B435" s="36">
        <v>4</v>
      </c>
      <c r="M435" s="15" t="s">
        <v>64</v>
      </c>
    </row>
    <row r="436" spans="1:13" ht="13.15" x14ac:dyDescent="0.45">
      <c r="A436" s="11" t="s">
        <v>669</v>
      </c>
      <c r="B436" s="36">
        <v>4</v>
      </c>
      <c r="C436" s="11" t="s">
        <v>670</v>
      </c>
      <c r="M436" s="15" t="s">
        <v>64</v>
      </c>
    </row>
    <row r="437" spans="1:13" ht="13.15" x14ac:dyDescent="0.45">
      <c r="A437" s="11" t="s">
        <v>671</v>
      </c>
      <c r="B437" s="36">
        <v>4</v>
      </c>
      <c r="C437" s="11" t="s">
        <v>671</v>
      </c>
      <c r="M437" s="15" t="s">
        <v>64</v>
      </c>
    </row>
    <row r="438" spans="1:13" ht="13.15" x14ac:dyDescent="0.45">
      <c r="A438" s="11" t="s">
        <v>672</v>
      </c>
      <c r="B438" s="36">
        <v>4</v>
      </c>
      <c r="M438" s="15" t="s">
        <v>64</v>
      </c>
    </row>
    <row r="439" spans="1:13" ht="13.15" x14ac:dyDescent="0.45">
      <c r="A439" s="11" t="s">
        <v>673</v>
      </c>
      <c r="B439" s="36">
        <v>20</v>
      </c>
      <c r="M439" s="15" t="s">
        <v>64</v>
      </c>
    </row>
    <row r="440" spans="1:13" ht="13.15" x14ac:dyDescent="0.45">
      <c r="A440" s="11" t="s">
        <v>674</v>
      </c>
      <c r="B440" s="36">
        <v>7</v>
      </c>
      <c r="C440" s="11" t="s">
        <v>675</v>
      </c>
      <c r="M440" s="15" t="s">
        <v>64</v>
      </c>
    </row>
    <row r="441" spans="1:13" ht="13.15" x14ac:dyDescent="0.45">
      <c r="A441" s="11" t="s">
        <v>676</v>
      </c>
      <c r="B441" s="36">
        <v>2</v>
      </c>
      <c r="M441" s="15" t="s">
        <v>64</v>
      </c>
    </row>
    <row r="442" spans="1:13" ht="13.15" x14ac:dyDescent="0.45">
      <c r="A442" s="11" t="s">
        <v>677</v>
      </c>
      <c r="B442" s="36">
        <v>7</v>
      </c>
      <c r="C442" s="11" t="s">
        <v>678</v>
      </c>
      <c r="M442" s="15" t="s">
        <v>64</v>
      </c>
    </row>
    <row r="443" spans="1:13" ht="13.15" x14ac:dyDescent="0.45">
      <c r="A443" s="11" t="s">
        <v>679</v>
      </c>
      <c r="B443" s="36">
        <v>14</v>
      </c>
      <c r="C443" s="11" t="s">
        <v>680</v>
      </c>
      <c r="M443" s="15" t="s">
        <v>64</v>
      </c>
    </row>
    <row r="444" spans="1:13" ht="13.15" x14ac:dyDescent="0.45">
      <c r="A444" s="11" t="s">
        <v>681</v>
      </c>
      <c r="B444" s="36">
        <v>37</v>
      </c>
      <c r="M444" s="15" t="s">
        <v>64</v>
      </c>
    </row>
    <row r="445" spans="1:13" ht="13.15" x14ac:dyDescent="0.45">
      <c r="A445" s="11" t="s">
        <v>682</v>
      </c>
      <c r="B445" s="36">
        <v>6</v>
      </c>
      <c r="C445" s="11" t="s">
        <v>683</v>
      </c>
      <c r="M445" s="15" t="s">
        <v>64</v>
      </c>
    </row>
    <row r="446" spans="1:13" ht="13.15" x14ac:dyDescent="0.45">
      <c r="A446" s="11" t="s">
        <v>684</v>
      </c>
      <c r="B446" s="36">
        <v>7</v>
      </c>
      <c r="M446" s="15" t="s">
        <v>64</v>
      </c>
    </row>
    <row r="447" spans="1:13" ht="13.15" x14ac:dyDescent="0.45">
      <c r="A447" s="11" t="s">
        <v>685</v>
      </c>
      <c r="B447" s="36">
        <v>5</v>
      </c>
      <c r="M447" s="15" t="s">
        <v>64</v>
      </c>
    </row>
    <row r="448" spans="1:13" ht="13.15" x14ac:dyDescent="0.45">
      <c r="A448" s="11" t="s">
        <v>686</v>
      </c>
      <c r="B448" s="36">
        <v>9</v>
      </c>
      <c r="C448" s="11" t="s">
        <v>687</v>
      </c>
      <c r="M448" s="15" t="s">
        <v>64</v>
      </c>
    </row>
    <row r="449" spans="1:13" ht="13.15" x14ac:dyDescent="0.45">
      <c r="A449" s="11" t="s">
        <v>688</v>
      </c>
      <c r="B449" s="36">
        <v>2</v>
      </c>
      <c r="C449" s="11" t="s">
        <v>689</v>
      </c>
      <c r="M449" s="15" t="s">
        <v>64</v>
      </c>
    </row>
    <row r="450" spans="1:13" ht="13.15" x14ac:dyDescent="0.45">
      <c r="A450" s="11" t="s">
        <v>690</v>
      </c>
      <c r="B450" s="36">
        <v>1</v>
      </c>
      <c r="C450" s="11" t="s">
        <v>691</v>
      </c>
      <c r="M450" s="15" t="s">
        <v>64</v>
      </c>
    </row>
    <row r="451" spans="1:13" ht="13.15" x14ac:dyDescent="0.45">
      <c r="A451" s="11" t="s">
        <v>692</v>
      </c>
      <c r="B451" s="36">
        <v>23</v>
      </c>
      <c r="M451" s="15" t="s">
        <v>64</v>
      </c>
    </row>
    <row r="452" spans="1:13" ht="14.25" x14ac:dyDescent="0.45">
      <c r="A452" s="11" t="s">
        <v>693</v>
      </c>
      <c r="B452" s="36">
        <v>7</v>
      </c>
      <c r="C452" s="11" t="s">
        <v>694</v>
      </c>
      <c r="D452" s="7" t="s">
        <v>695</v>
      </c>
      <c r="E452" s="37" t="s">
        <v>696</v>
      </c>
      <c r="F452" s="37"/>
      <c r="G452" s="33" t="s">
        <v>697</v>
      </c>
      <c r="H452" s="6" t="s">
        <v>698</v>
      </c>
      <c r="I452" s="6" t="s">
        <v>699</v>
      </c>
      <c r="J452" s="6" t="s">
        <v>700</v>
      </c>
      <c r="K452" s="17">
        <v>50150</v>
      </c>
      <c r="L452" s="13">
        <v>46153</v>
      </c>
      <c r="M452" s="15" t="s">
        <v>32</v>
      </c>
    </row>
    <row r="453" spans="1:13" ht="13.15" x14ac:dyDescent="0.45">
      <c r="A453" s="11" t="s">
        <v>701</v>
      </c>
      <c r="B453" s="36">
        <v>9</v>
      </c>
      <c r="C453" s="11" t="s">
        <v>702</v>
      </c>
      <c r="M453" s="15" t="s">
        <v>64</v>
      </c>
    </row>
    <row r="454" spans="1:13" ht="13.15" x14ac:dyDescent="0.45">
      <c r="A454" s="11" t="s">
        <v>703</v>
      </c>
      <c r="B454" s="36">
        <v>6</v>
      </c>
      <c r="C454" s="11" t="s">
        <v>704</v>
      </c>
      <c r="M454" s="15" t="s">
        <v>64</v>
      </c>
    </row>
    <row r="455" spans="1:13" ht="13.15" x14ac:dyDescent="0.45">
      <c r="A455" s="11" t="s">
        <v>705</v>
      </c>
      <c r="B455" s="36">
        <v>1</v>
      </c>
      <c r="M455" s="15" t="s">
        <v>64</v>
      </c>
    </row>
    <row r="456" spans="1:13" ht="13.15" x14ac:dyDescent="0.45">
      <c r="A456" s="11" t="s">
        <v>706</v>
      </c>
      <c r="B456" s="36">
        <v>5</v>
      </c>
      <c r="C456" s="11" t="s">
        <v>707</v>
      </c>
      <c r="M456" s="15" t="s">
        <v>64</v>
      </c>
    </row>
    <row r="457" spans="1:13" ht="13.15" x14ac:dyDescent="0.45">
      <c r="A457" s="11" t="s">
        <v>708</v>
      </c>
      <c r="B457" s="36">
        <v>80</v>
      </c>
      <c r="C457" s="11" t="s">
        <v>709</v>
      </c>
      <c r="M457" s="15" t="s">
        <v>64</v>
      </c>
    </row>
    <row r="458" spans="1:13" ht="13.15" x14ac:dyDescent="0.45">
      <c r="A458" s="11" t="s">
        <v>710</v>
      </c>
      <c r="B458" s="36">
        <v>45</v>
      </c>
      <c r="C458" s="11" t="s">
        <v>711</v>
      </c>
      <c r="M458" s="15" t="s">
        <v>64</v>
      </c>
    </row>
    <row r="459" spans="1:13" ht="13.15" x14ac:dyDescent="0.45">
      <c r="A459" s="11" t="s">
        <v>712</v>
      </c>
      <c r="B459" s="36">
        <v>4</v>
      </c>
      <c r="M459" s="15" t="s">
        <v>64</v>
      </c>
    </row>
    <row r="460" spans="1:13" ht="13.15" x14ac:dyDescent="0.45">
      <c r="A460" s="11" t="s">
        <v>713</v>
      </c>
      <c r="B460" s="36">
        <v>2</v>
      </c>
      <c r="C460" s="11" t="s">
        <v>714</v>
      </c>
      <c r="M460" s="15" t="s">
        <v>64</v>
      </c>
    </row>
    <row r="461" spans="1:13" ht="13.15" x14ac:dyDescent="0.45">
      <c r="A461" s="11" t="s">
        <v>715</v>
      </c>
      <c r="B461" s="36">
        <v>68</v>
      </c>
      <c r="M461" s="15" t="s">
        <v>32</v>
      </c>
    </row>
    <row r="462" spans="1:13" ht="13.15" x14ac:dyDescent="0.45">
      <c r="A462" s="11" t="s">
        <v>716</v>
      </c>
      <c r="B462" s="36">
        <v>6</v>
      </c>
      <c r="M462" s="15" t="s">
        <v>64</v>
      </c>
    </row>
    <row r="463" spans="1:13" ht="13.15" x14ac:dyDescent="0.45">
      <c r="A463" s="11" t="s">
        <v>717</v>
      </c>
      <c r="B463" s="36">
        <v>12</v>
      </c>
      <c r="M463" s="15" t="s">
        <v>64</v>
      </c>
    </row>
    <row r="464" spans="1:13" ht="13.15" x14ac:dyDescent="0.45">
      <c r="A464" s="11" t="s">
        <v>718</v>
      </c>
      <c r="B464" s="36">
        <v>2</v>
      </c>
      <c r="M464" s="15" t="s">
        <v>64</v>
      </c>
    </row>
    <row r="465" spans="1:13" ht="13.15" x14ac:dyDescent="0.45">
      <c r="A465" s="11" t="s">
        <v>719</v>
      </c>
      <c r="B465" s="36">
        <v>5</v>
      </c>
      <c r="M465" s="15" t="s">
        <v>64</v>
      </c>
    </row>
    <row r="466" spans="1:13" ht="13.15" x14ac:dyDescent="0.45">
      <c r="A466" s="11" t="s">
        <v>720</v>
      </c>
      <c r="B466" s="36">
        <v>1</v>
      </c>
      <c r="M466" s="15" t="s">
        <v>64</v>
      </c>
    </row>
    <row r="467" spans="1:13" ht="13.15" x14ac:dyDescent="0.45">
      <c r="A467" s="11" t="s">
        <v>721</v>
      </c>
      <c r="B467" s="36">
        <v>1</v>
      </c>
      <c r="M467" s="15" t="s">
        <v>64</v>
      </c>
    </row>
    <row r="468" spans="1:13" ht="13.15" x14ac:dyDescent="0.45">
      <c r="A468" s="11" t="s">
        <v>722</v>
      </c>
      <c r="B468" s="36">
        <v>13</v>
      </c>
      <c r="C468" s="11" t="s">
        <v>723</v>
      </c>
      <c r="M468" s="15" t="s">
        <v>64</v>
      </c>
    </row>
    <row r="469" spans="1:13" ht="13.15" x14ac:dyDescent="0.45">
      <c r="A469" s="11" t="s">
        <v>724</v>
      </c>
      <c r="B469" s="36">
        <v>2</v>
      </c>
      <c r="C469" s="11" t="s">
        <v>725</v>
      </c>
      <c r="M469" s="15" t="s">
        <v>64</v>
      </c>
    </row>
    <row r="470" spans="1:13" ht="13.15" x14ac:dyDescent="0.45">
      <c r="A470" s="11" t="s">
        <v>726</v>
      </c>
      <c r="B470" s="36">
        <v>21</v>
      </c>
      <c r="C470" s="11" t="s">
        <v>727</v>
      </c>
      <c r="M470" s="15" t="s">
        <v>64</v>
      </c>
    </row>
    <row r="471" spans="1:13" ht="13.15" x14ac:dyDescent="0.45">
      <c r="A471" s="11" t="s">
        <v>728</v>
      </c>
      <c r="B471" s="36">
        <v>27</v>
      </c>
      <c r="C471" s="11" t="s">
        <v>729</v>
      </c>
      <c r="M471" s="15" t="s">
        <v>64</v>
      </c>
    </row>
    <row r="472" spans="1:13" ht="13.15" x14ac:dyDescent="0.45">
      <c r="A472" s="11" t="s">
        <v>730</v>
      </c>
      <c r="B472" s="36">
        <v>3</v>
      </c>
      <c r="C472" s="11" t="s">
        <v>731</v>
      </c>
      <c r="M472" s="15" t="s">
        <v>64</v>
      </c>
    </row>
    <row r="473" spans="1:13" ht="13.15" x14ac:dyDescent="0.45">
      <c r="A473" s="11" t="s">
        <v>732</v>
      </c>
      <c r="B473" s="36">
        <v>19</v>
      </c>
      <c r="C473" s="11" t="s">
        <v>733</v>
      </c>
      <c r="M473" s="15" t="s">
        <v>64</v>
      </c>
    </row>
    <row r="474" spans="1:13" ht="13.15" x14ac:dyDescent="0.45">
      <c r="A474" s="11" t="s">
        <v>734</v>
      </c>
      <c r="B474" s="36">
        <v>48</v>
      </c>
      <c r="C474" s="11" t="s">
        <v>735</v>
      </c>
      <c r="M474" s="15" t="s">
        <v>64</v>
      </c>
    </row>
    <row r="475" spans="1:13" ht="13.15" x14ac:dyDescent="0.45">
      <c r="A475" s="11" t="s">
        <v>736</v>
      </c>
      <c r="B475" s="36">
        <v>2</v>
      </c>
      <c r="M475" s="15" t="s">
        <v>64</v>
      </c>
    </row>
    <row r="476" spans="1:13" ht="13.15" x14ac:dyDescent="0.45">
      <c r="A476" s="11" t="s">
        <v>737</v>
      </c>
      <c r="B476" s="36">
        <v>1</v>
      </c>
      <c r="M476" s="15" t="s">
        <v>64</v>
      </c>
    </row>
    <row r="477" spans="1:13" ht="13.15" x14ac:dyDescent="0.45">
      <c r="A477" s="11" t="s">
        <v>738</v>
      </c>
      <c r="B477" s="36">
        <v>178</v>
      </c>
      <c r="C477" s="11" t="s">
        <v>739</v>
      </c>
      <c r="M477" s="15" t="s">
        <v>64</v>
      </c>
    </row>
    <row r="478" spans="1:13" ht="13.15" x14ac:dyDescent="0.45">
      <c r="A478" s="11" t="s">
        <v>740</v>
      </c>
      <c r="B478" s="36">
        <v>94</v>
      </c>
      <c r="M478" s="15" t="s">
        <v>64</v>
      </c>
    </row>
    <row r="479" spans="1:13" ht="13.15" x14ac:dyDescent="0.45">
      <c r="A479" s="11" t="s">
        <v>741</v>
      </c>
      <c r="B479" s="36">
        <v>12</v>
      </c>
      <c r="C479" s="11" t="s">
        <v>742</v>
      </c>
      <c r="D479" s="7" t="s">
        <v>743</v>
      </c>
      <c r="G479" s="5" t="s">
        <v>744</v>
      </c>
      <c r="M479" s="15" t="s">
        <v>64</v>
      </c>
    </row>
    <row r="480" spans="1:13" ht="13.15" x14ac:dyDescent="0.45">
      <c r="A480" s="11" t="s">
        <v>745</v>
      </c>
      <c r="B480" s="36">
        <v>2</v>
      </c>
      <c r="C480" s="11" t="s">
        <v>746</v>
      </c>
      <c r="M480" s="15" t="s">
        <v>64</v>
      </c>
    </row>
    <row r="481" spans="1:13" ht="13.15" x14ac:dyDescent="0.45">
      <c r="A481" s="11" t="s">
        <v>747</v>
      </c>
      <c r="B481" s="36">
        <v>7</v>
      </c>
      <c r="C481" s="11" t="s">
        <v>748</v>
      </c>
      <c r="M481" s="15" t="s">
        <v>64</v>
      </c>
    </row>
    <row r="482" spans="1:13" ht="13.15" x14ac:dyDescent="0.45">
      <c r="A482" s="11" t="s">
        <v>749</v>
      </c>
      <c r="B482" s="36">
        <v>4</v>
      </c>
      <c r="M482" s="15" t="s">
        <v>64</v>
      </c>
    </row>
    <row r="483" spans="1:13" ht="13.15" x14ac:dyDescent="0.45">
      <c r="A483" s="11" t="s">
        <v>750</v>
      </c>
      <c r="B483" s="36">
        <v>2</v>
      </c>
      <c r="M483" s="15" t="s">
        <v>64</v>
      </c>
    </row>
    <row r="484" spans="1:13" ht="13.15" x14ac:dyDescent="0.45">
      <c r="A484" s="11" t="s">
        <v>751</v>
      </c>
      <c r="B484" s="36">
        <v>1</v>
      </c>
      <c r="M484" s="15" t="s">
        <v>64</v>
      </c>
    </row>
    <row r="485" spans="1:13" ht="13.15" x14ac:dyDescent="0.45">
      <c r="A485" s="11" t="s">
        <v>752</v>
      </c>
      <c r="B485" s="36">
        <v>9</v>
      </c>
      <c r="M485" s="15" t="s">
        <v>64</v>
      </c>
    </row>
    <row r="486" spans="1:13" ht="13.15" x14ac:dyDescent="0.45">
      <c r="A486" s="11" t="s">
        <v>753</v>
      </c>
      <c r="B486" s="36">
        <v>16</v>
      </c>
      <c r="M486" s="15" t="s">
        <v>64</v>
      </c>
    </row>
    <row r="487" spans="1:13" ht="13.15" x14ac:dyDescent="0.45">
      <c r="A487" s="11" t="s">
        <v>754</v>
      </c>
      <c r="B487" s="36">
        <v>19</v>
      </c>
      <c r="M487" s="15" t="s">
        <v>64</v>
      </c>
    </row>
    <row r="488" spans="1:13" ht="13.15" x14ac:dyDescent="0.45">
      <c r="A488" s="11" t="s">
        <v>755</v>
      </c>
      <c r="B488" s="36">
        <v>6</v>
      </c>
      <c r="M488" s="15" t="s">
        <v>64</v>
      </c>
    </row>
    <row r="489" spans="1:13" ht="13.15" x14ac:dyDescent="0.45">
      <c r="A489" s="11" t="s">
        <v>756</v>
      </c>
      <c r="B489" s="36">
        <v>3</v>
      </c>
      <c r="M489" s="15" t="s">
        <v>64</v>
      </c>
    </row>
    <row r="490" spans="1:13" ht="13.15" x14ac:dyDescent="0.45">
      <c r="A490" s="11" t="s">
        <v>757</v>
      </c>
      <c r="B490" s="36">
        <v>1</v>
      </c>
      <c r="C490" s="11" t="s">
        <v>758</v>
      </c>
      <c r="M490" s="15" t="s">
        <v>64</v>
      </c>
    </row>
    <row r="491" spans="1:13" ht="13.15" x14ac:dyDescent="0.45">
      <c r="A491" s="11" t="s">
        <v>759</v>
      </c>
      <c r="B491" s="36">
        <v>1</v>
      </c>
      <c r="C491" s="11" t="s">
        <v>760</v>
      </c>
      <c r="M491" s="15" t="s">
        <v>64</v>
      </c>
    </row>
    <row r="492" spans="1:13" ht="13.15" x14ac:dyDescent="0.45">
      <c r="A492" s="11" t="s">
        <v>761</v>
      </c>
      <c r="B492" s="36">
        <v>1</v>
      </c>
      <c r="M492" s="15" t="s">
        <v>64</v>
      </c>
    </row>
    <row r="493" spans="1:13" ht="13.15" x14ac:dyDescent="0.45">
      <c r="A493" s="11" t="s">
        <v>762</v>
      </c>
      <c r="B493" s="36">
        <v>7</v>
      </c>
      <c r="M493" s="15" t="s">
        <v>64</v>
      </c>
    </row>
    <row r="494" spans="1:13" ht="13.15" x14ac:dyDescent="0.45">
      <c r="A494" s="11" t="s">
        <v>763</v>
      </c>
      <c r="M494" s="15" t="s">
        <v>64</v>
      </c>
    </row>
    <row r="495" spans="1:13" ht="13.15" x14ac:dyDescent="0.45">
      <c r="A495" s="11" t="s">
        <v>764</v>
      </c>
      <c r="B495" s="36">
        <v>5</v>
      </c>
      <c r="M495" s="15" t="s">
        <v>64</v>
      </c>
    </row>
    <row r="496" spans="1:13" ht="13.15" x14ac:dyDescent="0.45">
      <c r="A496" s="11" t="s">
        <v>765</v>
      </c>
      <c r="B496" s="36">
        <v>19</v>
      </c>
      <c r="C496" s="11" t="s">
        <v>766</v>
      </c>
      <c r="M496" s="15" t="s">
        <v>64</v>
      </c>
    </row>
    <row r="497" spans="1:13" ht="13.15" x14ac:dyDescent="0.45">
      <c r="A497" s="11" t="s">
        <v>767</v>
      </c>
      <c r="B497" s="36">
        <v>5</v>
      </c>
      <c r="C497" s="11" t="s">
        <v>768</v>
      </c>
      <c r="D497" s="7" t="s">
        <v>769</v>
      </c>
      <c r="G497" s="5" t="s">
        <v>770</v>
      </c>
      <c r="M497" s="15" t="s">
        <v>32</v>
      </c>
    </row>
    <row r="498" spans="1:13" ht="13.15" x14ac:dyDescent="0.45">
      <c r="A498" s="11" t="s">
        <v>771</v>
      </c>
      <c r="B498" s="36">
        <v>3</v>
      </c>
      <c r="C498" s="11" t="s">
        <v>772</v>
      </c>
      <c r="M498" s="15" t="s">
        <v>64</v>
      </c>
    </row>
    <row r="499" spans="1:13" ht="13.15" x14ac:dyDescent="0.45">
      <c r="A499" s="11" t="s">
        <v>773</v>
      </c>
      <c r="B499" s="36">
        <v>1</v>
      </c>
      <c r="C499" s="11" t="s">
        <v>774</v>
      </c>
      <c r="M499" s="15" t="s">
        <v>64</v>
      </c>
    </row>
    <row r="500" spans="1:13" ht="13.15" x14ac:dyDescent="0.45">
      <c r="A500" s="11" t="s">
        <v>775</v>
      </c>
      <c r="B500" s="36">
        <v>1</v>
      </c>
      <c r="M500" s="15" t="s">
        <v>64</v>
      </c>
    </row>
    <row r="501" spans="1:13" ht="13.15" x14ac:dyDescent="0.45">
      <c r="A501" s="11" t="s">
        <v>776</v>
      </c>
      <c r="B501" s="36">
        <v>1</v>
      </c>
      <c r="C501" s="11" t="s">
        <v>777</v>
      </c>
      <c r="M501" s="15" t="s">
        <v>64</v>
      </c>
    </row>
    <row r="502" spans="1:13" ht="13.15" x14ac:dyDescent="0.45">
      <c r="A502" s="11" t="s">
        <v>778</v>
      </c>
      <c r="B502" s="36">
        <v>5</v>
      </c>
      <c r="C502" s="11" t="s">
        <v>779</v>
      </c>
      <c r="M502" s="15" t="s">
        <v>64</v>
      </c>
    </row>
    <row r="503" spans="1:13" ht="13.15" x14ac:dyDescent="0.45">
      <c r="A503" s="11" t="s">
        <v>780</v>
      </c>
      <c r="B503" s="36">
        <v>3</v>
      </c>
      <c r="M503" s="15" t="s">
        <v>64</v>
      </c>
    </row>
    <row r="504" spans="1:13" ht="13.15" x14ac:dyDescent="0.45">
      <c r="A504" s="11" t="s">
        <v>781</v>
      </c>
      <c r="B504" s="36">
        <v>1</v>
      </c>
      <c r="M504" s="15" t="s">
        <v>64</v>
      </c>
    </row>
    <row r="505" spans="1:13" ht="13.15" x14ac:dyDescent="0.45">
      <c r="A505" s="11" t="s">
        <v>782</v>
      </c>
      <c r="B505" s="36">
        <v>4</v>
      </c>
      <c r="M505" s="15" t="s">
        <v>64</v>
      </c>
    </row>
    <row r="506" spans="1:13" ht="13.15" x14ac:dyDescent="0.45">
      <c r="A506" s="11" t="s">
        <v>783</v>
      </c>
      <c r="B506" s="36">
        <v>1</v>
      </c>
      <c r="C506" s="11" t="s">
        <v>784</v>
      </c>
      <c r="M506" s="15" t="s">
        <v>64</v>
      </c>
    </row>
    <row r="507" spans="1:13" ht="13.15" x14ac:dyDescent="0.45">
      <c r="A507" s="11" t="s">
        <v>785</v>
      </c>
      <c r="B507" s="36">
        <v>1</v>
      </c>
      <c r="M507" s="15" t="s">
        <v>64</v>
      </c>
    </row>
    <row r="508" spans="1:13" ht="14.25" x14ac:dyDescent="0.45">
      <c r="A508" s="11" t="s">
        <v>786</v>
      </c>
      <c r="B508" s="36">
        <v>2</v>
      </c>
      <c r="C508" s="11" t="s">
        <v>787</v>
      </c>
      <c r="D508" s="7" t="s">
        <v>788</v>
      </c>
      <c r="E508" s="37" t="s">
        <v>789</v>
      </c>
      <c r="F508" s="37"/>
      <c r="G508" s="6" t="s">
        <v>790</v>
      </c>
      <c r="H508" s="6" t="s">
        <v>791</v>
      </c>
      <c r="I508" s="6" t="s">
        <v>699</v>
      </c>
      <c r="J508" s="6" t="s">
        <v>700</v>
      </c>
      <c r="K508" s="17">
        <v>50490</v>
      </c>
      <c r="L508" s="13">
        <v>46127</v>
      </c>
      <c r="M508" s="15" t="s">
        <v>32</v>
      </c>
    </row>
    <row r="509" spans="1:13" ht="13.15" x14ac:dyDescent="0.45">
      <c r="A509" s="11" t="s">
        <v>792</v>
      </c>
      <c r="B509" s="36">
        <v>2</v>
      </c>
      <c r="M509" s="15" t="s">
        <v>64</v>
      </c>
    </row>
    <row r="510" spans="1:13" ht="13.15" x14ac:dyDescent="0.45">
      <c r="A510" s="11" t="s">
        <v>793</v>
      </c>
      <c r="B510" s="36">
        <v>2</v>
      </c>
      <c r="C510" s="11" t="s">
        <v>794</v>
      </c>
      <c r="M510" s="15" t="s">
        <v>64</v>
      </c>
    </row>
    <row r="511" spans="1:13" ht="13.15" x14ac:dyDescent="0.45">
      <c r="A511" s="11" t="s">
        <v>795</v>
      </c>
      <c r="B511" s="36">
        <v>2</v>
      </c>
      <c r="C511" s="11" t="s">
        <v>796</v>
      </c>
      <c r="M511" s="15" t="s">
        <v>64</v>
      </c>
    </row>
    <row r="512" spans="1:13" ht="13.15" x14ac:dyDescent="0.45">
      <c r="A512" s="11" t="s">
        <v>797</v>
      </c>
      <c r="B512" s="36">
        <v>1</v>
      </c>
      <c r="M512" s="15" t="s">
        <v>64</v>
      </c>
    </row>
    <row r="513" spans="1:13" ht="13.15" x14ac:dyDescent="0.45">
      <c r="A513" s="11" t="s">
        <v>798</v>
      </c>
      <c r="B513" s="36">
        <v>15</v>
      </c>
      <c r="M513" s="15" t="s">
        <v>64</v>
      </c>
    </row>
    <row r="514" spans="1:13" ht="13.15" x14ac:dyDescent="0.45">
      <c r="A514" s="11" t="s">
        <v>799</v>
      </c>
      <c r="B514" s="36">
        <v>1</v>
      </c>
      <c r="C514" s="11" t="s">
        <v>800</v>
      </c>
      <c r="M514" s="15" t="s">
        <v>64</v>
      </c>
    </row>
    <row r="515" spans="1:13" ht="13.15" x14ac:dyDescent="0.45">
      <c r="A515" s="11" t="s">
        <v>801</v>
      </c>
      <c r="B515" s="36">
        <v>1</v>
      </c>
      <c r="M515" s="15" t="s">
        <v>64</v>
      </c>
    </row>
    <row r="516" spans="1:13" ht="13.15" x14ac:dyDescent="0.45">
      <c r="A516" s="11" t="s">
        <v>802</v>
      </c>
      <c r="B516" s="36">
        <v>1</v>
      </c>
      <c r="M516" s="15" t="s">
        <v>64</v>
      </c>
    </row>
    <row r="517" spans="1:13" ht="13.15" x14ac:dyDescent="0.45">
      <c r="A517" s="11" t="s">
        <v>803</v>
      </c>
      <c r="B517" s="36">
        <v>1</v>
      </c>
      <c r="M517" s="15" t="s">
        <v>64</v>
      </c>
    </row>
    <row r="518" spans="1:13" ht="13.15" x14ac:dyDescent="0.45">
      <c r="A518" s="11" t="s">
        <v>804</v>
      </c>
      <c r="B518" s="36">
        <v>3</v>
      </c>
      <c r="M518" s="15" t="s">
        <v>64</v>
      </c>
    </row>
    <row r="519" spans="1:13" ht="13.15" x14ac:dyDescent="0.45">
      <c r="A519" s="11" t="s">
        <v>805</v>
      </c>
      <c r="B519" s="36">
        <v>1</v>
      </c>
      <c r="M519" s="15" t="s">
        <v>64</v>
      </c>
    </row>
    <row r="520" spans="1:13" ht="13.15" x14ac:dyDescent="0.45">
      <c r="A520" s="11" t="s">
        <v>806</v>
      </c>
      <c r="B520" s="36">
        <v>9</v>
      </c>
      <c r="M520" s="15" t="s">
        <v>64</v>
      </c>
    </row>
    <row r="521" spans="1:13" ht="13.15" x14ac:dyDescent="0.45">
      <c r="A521" s="11" t="s">
        <v>807</v>
      </c>
      <c r="B521" s="36">
        <v>16</v>
      </c>
      <c r="C521" s="11" t="s">
        <v>808</v>
      </c>
      <c r="M521" s="15" t="s">
        <v>64</v>
      </c>
    </row>
    <row r="522" spans="1:13" ht="13.15" x14ac:dyDescent="0.45">
      <c r="A522" s="11" t="s">
        <v>809</v>
      </c>
      <c r="B522" s="36">
        <v>1</v>
      </c>
      <c r="M522" s="15" t="s">
        <v>64</v>
      </c>
    </row>
    <row r="523" spans="1:13" ht="13.15" x14ac:dyDescent="0.45">
      <c r="A523" s="11" t="s">
        <v>810</v>
      </c>
      <c r="B523" s="36">
        <v>1</v>
      </c>
      <c r="C523" s="11" t="s">
        <v>811</v>
      </c>
      <c r="M523" s="15" t="s">
        <v>64</v>
      </c>
    </row>
    <row r="524" spans="1:13" ht="14.25" x14ac:dyDescent="0.45">
      <c r="A524" s="11" t="s">
        <v>812</v>
      </c>
      <c r="B524" s="36">
        <v>8</v>
      </c>
      <c r="C524" s="11" t="s">
        <v>813</v>
      </c>
      <c r="D524" s="7" t="s">
        <v>814</v>
      </c>
      <c r="E524" s="37" t="s">
        <v>815</v>
      </c>
      <c r="F524" s="37"/>
      <c r="G524" s="6" t="s">
        <v>816</v>
      </c>
      <c r="H524" s="6" t="s">
        <v>817</v>
      </c>
      <c r="I524" s="6" t="s">
        <v>818</v>
      </c>
      <c r="J524" s="6" t="s">
        <v>700</v>
      </c>
      <c r="K524" s="17">
        <v>47810</v>
      </c>
      <c r="L524" s="13">
        <v>46120</v>
      </c>
      <c r="M524" s="15" t="s">
        <v>32</v>
      </c>
    </row>
    <row r="525" spans="1:13" ht="13.15" x14ac:dyDescent="0.45">
      <c r="A525" s="11" t="s">
        <v>819</v>
      </c>
      <c r="B525" s="36">
        <v>30</v>
      </c>
      <c r="C525" s="11" t="s">
        <v>820</v>
      </c>
      <c r="M525" s="15" t="s">
        <v>64</v>
      </c>
    </row>
    <row r="526" spans="1:13" ht="13.15" x14ac:dyDescent="0.45">
      <c r="A526" s="11" t="s">
        <v>821</v>
      </c>
      <c r="B526" s="36">
        <v>67</v>
      </c>
      <c r="C526" s="11" t="s">
        <v>822</v>
      </c>
      <c r="M526" s="15" t="s">
        <v>64</v>
      </c>
    </row>
    <row r="527" spans="1:13" ht="13.15" x14ac:dyDescent="0.45">
      <c r="A527" s="11" t="s">
        <v>823</v>
      </c>
      <c r="B527" s="36">
        <v>5</v>
      </c>
      <c r="M527" s="15" t="s">
        <v>64</v>
      </c>
    </row>
    <row r="528" spans="1:13" ht="13.15" x14ac:dyDescent="0.45">
      <c r="A528" s="11" t="s">
        <v>824</v>
      </c>
      <c r="B528" s="36">
        <v>2</v>
      </c>
      <c r="M528" s="15" t="s">
        <v>64</v>
      </c>
    </row>
    <row r="529" spans="1:13" ht="13.15" x14ac:dyDescent="0.45">
      <c r="A529" s="11" t="s">
        <v>825</v>
      </c>
      <c r="B529" s="36">
        <v>2</v>
      </c>
      <c r="M529" s="15" t="s">
        <v>64</v>
      </c>
    </row>
    <row r="530" spans="1:13" ht="13.15" x14ac:dyDescent="0.45">
      <c r="A530" s="11" t="s">
        <v>826</v>
      </c>
      <c r="B530" s="36">
        <v>1</v>
      </c>
      <c r="M530" s="15" t="s">
        <v>64</v>
      </c>
    </row>
    <row r="531" spans="1:13" ht="13.15" x14ac:dyDescent="0.45">
      <c r="A531" s="11" t="s">
        <v>827</v>
      </c>
      <c r="B531" s="36">
        <v>1</v>
      </c>
      <c r="M531" s="15" t="s">
        <v>64</v>
      </c>
    </row>
    <row r="532" spans="1:13" ht="13.15" x14ac:dyDescent="0.45">
      <c r="A532" s="11" t="s">
        <v>828</v>
      </c>
      <c r="B532" s="36">
        <v>1</v>
      </c>
      <c r="C532" s="11" t="s">
        <v>829</v>
      </c>
      <c r="M532" s="15" t="s">
        <v>64</v>
      </c>
    </row>
    <row r="533" spans="1:13" ht="13.15" x14ac:dyDescent="0.45">
      <c r="A533" s="11" t="s">
        <v>830</v>
      </c>
      <c r="B533" s="36">
        <v>2</v>
      </c>
      <c r="M533" s="15" t="s">
        <v>64</v>
      </c>
    </row>
    <row r="534" spans="1:13" ht="13.15" x14ac:dyDescent="0.45">
      <c r="A534" s="11" t="s">
        <v>831</v>
      </c>
      <c r="B534" s="36">
        <v>3</v>
      </c>
      <c r="M534" s="15" t="s">
        <v>64</v>
      </c>
    </row>
    <row r="535" spans="1:13" ht="13.15" x14ac:dyDescent="0.45">
      <c r="A535" s="11" t="s">
        <v>832</v>
      </c>
      <c r="B535" s="36">
        <v>8</v>
      </c>
      <c r="M535" s="15" t="s">
        <v>64</v>
      </c>
    </row>
    <row r="536" spans="1:13" ht="13.15" x14ac:dyDescent="0.45">
      <c r="A536" s="11" t="s">
        <v>833</v>
      </c>
      <c r="B536" s="36">
        <v>22</v>
      </c>
      <c r="C536" s="11" t="s">
        <v>834</v>
      </c>
      <c r="M536" s="15" t="s">
        <v>64</v>
      </c>
    </row>
    <row r="537" spans="1:13" ht="13.15" x14ac:dyDescent="0.45">
      <c r="A537" s="11" t="s">
        <v>835</v>
      </c>
      <c r="B537" s="36">
        <v>1</v>
      </c>
      <c r="M537" s="15" t="s">
        <v>64</v>
      </c>
    </row>
    <row r="538" spans="1:13" ht="13.15" x14ac:dyDescent="0.45">
      <c r="A538" s="11" t="s">
        <v>836</v>
      </c>
      <c r="B538" s="36">
        <v>1</v>
      </c>
      <c r="C538" s="11" t="s">
        <v>837</v>
      </c>
      <c r="M538" s="15" t="s">
        <v>64</v>
      </c>
    </row>
    <row r="539" spans="1:13" ht="13.15" x14ac:dyDescent="0.45">
      <c r="A539" s="11" t="s">
        <v>838</v>
      </c>
      <c r="B539" s="36">
        <v>41</v>
      </c>
      <c r="C539" s="11" t="s">
        <v>839</v>
      </c>
      <c r="M539" s="15" t="s">
        <v>15</v>
      </c>
    </row>
    <row r="540" spans="1:13" ht="13.15" x14ac:dyDescent="0.45">
      <c r="A540" s="11" t="s">
        <v>840</v>
      </c>
      <c r="B540" s="36">
        <v>1</v>
      </c>
      <c r="M540" s="15" t="s">
        <v>15</v>
      </c>
    </row>
    <row r="541" spans="1:13" ht="13.15" x14ac:dyDescent="0.45">
      <c r="A541" s="11" t="s">
        <v>841</v>
      </c>
      <c r="B541" s="36">
        <v>1</v>
      </c>
      <c r="M541" s="15" t="s">
        <v>15</v>
      </c>
    </row>
    <row r="542" spans="1:13" ht="13.15" x14ac:dyDescent="0.45">
      <c r="A542" s="11" t="s">
        <v>842</v>
      </c>
      <c r="B542" s="36">
        <v>2</v>
      </c>
      <c r="M542" s="15" t="s">
        <v>15</v>
      </c>
    </row>
    <row r="543" spans="1:13" ht="13.15" x14ac:dyDescent="0.45">
      <c r="A543" s="11" t="s">
        <v>843</v>
      </c>
      <c r="B543" s="36">
        <v>3</v>
      </c>
      <c r="M543" s="15" t="s">
        <v>15</v>
      </c>
    </row>
    <row r="544" spans="1:13" ht="13.15" x14ac:dyDescent="0.45">
      <c r="A544" s="11" t="s">
        <v>844</v>
      </c>
      <c r="B544" s="36">
        <v>10</v>
      </c>
      <c r="C544" s="11" t="s">
        <v>845</v>
      </c>
      <c r="M544" s="15" t="s">
        <v>64</v>
      </c>
    </row>
    <row r="545" spans="1:13" ht="13.15" x14ac:dyDescent="0.45">
      <c r="A545" s="11" t="s">
        <v>846</v>
      </c>
      <c r="B545" s="36">
        <v>5</v>
      </c>
      <c r="M545" s="15" t="s">
        <v>15</v>
      </c>
    </row>
    <row r="546" spans="1:13" ht="13.15" x14ac:dyDescent="0.45">
      <c r="A546" s="11" t="s">
        <v>847</v>
      </c>
      <c r="B546" s="36">
        <v>8</v>
      </c>
      <c r="M546" s="15" t="s">
        <v>15</v>
      </c>
    </row>
    <row r="547" spans="1:13" ht="13.15" x14ac:dyDescent="0.45">
      <c r="A547" s="11" t="s">
        <v>848</v>
      </c>
      <c r="B547" s="36">
        <v>20</v>
      </c>
      <c r="C547" s="11" t="s">
        <v>849</v>
      </c>
      <c r="M547" s="15" t="s">
        <v>15</v>
      </c>
    </row>
    <row r="548" spans="1:13" ht="13.15" x14ac:dyDescent="0.45">
      <c r="A548" s="11" t="s">
        <v>850</v>
      </c>
      <c r="B548" s="36">
        <v>1</v>
      </c>
      <c r="C548" s="11" t="s">
        <v>851</v>
      </c>
      <c r="M548" s="15" t="s">
        <v>15</v>
      </c>
    </row>
    <row r="549" spans="1:13" ht="13.15" x14ac:dyDescent="0.45">
      <c r="A549" s="11" t="s">
        <v>852</v>
      </c>
      <c r="B549" s="36">
        <v>1</v>
      </c>
      <c r="C549" s="11" t="s">
        <v>853</v>
      </c>
      <c r="M549" s="15" t="s">
        <v>15</v>
      </c>
    </row>
    <row r="550" spans="1:13" ht="13.15" x14ac:dyDescent="0.45">
      <c r="A550" s="11" t="s">
        <v>854</v>
      </c>
      <c r="B550" s="36">
        <v>7</v>
      </c>
      <c r="C550" s="11" t="s">
        <v>855</v>
      </c>
      <c r="M550" s="15" t="s">
        <v>15</v>
      </c>
    </row>
    <row r="551" spans="1:13" ht="14.25" x14ac:dyDescent="0.45">
      <c r="A551" s="11" t="s">
        <v>856</v>
      </c>
      <c r="B551" s="36">
        <v>110</v>
      </c>
      <c r="C551" s="11" t="s">
        <v>857</v>
      </c>
      <c r="D551" s="7" t="s">
        <v>858</v>
      </c>
      <c r="E551" s="37" t="s">
        <v>859</v>
      </c>
      <c r="F551" s="37"/>
      <c r="G551" s="33" t="s">
        <v>860</v>
      </c>
      <c r="H551" s="6" t="s">
        <v>861</v>
      </c>
      <c r="J551" s="6" t="s">
        <v>862</v>
      </c>
      <c r="K551" s="17">
        <v>408600</v>
      </c>
      <c r="M551" s="15" t="s">
        <v>863</v>
      </c>
    </row>
    <row r="552" spans="1:13" ht="13.15" x14ac:dyDescent="0.4">
      <c r="A552" s="11" t="s">
        <v>864</v>
      </c>
      <c r="B552" s="36">
        <v>4</v>
      </c>
      <c r="C552" s="34" t="s">
        <v>865</v>
      </c>
      <c r="L552" s="13">
        <v>46142</v>
      </c>
      <c r="M552" s="15" t="s">
        <v>866</v>
      </c>
    </row>
    <row r="553" spans="1:13" ht="13.15" x14ac:dyDescent="0.45">
      <c r="A553" s="11" t="s">
        <v>867</v>
      </c>
      <c r="B553" s="36">
        <v>20</v>
      </c>
      <c r="C553" s="11" t="s">
        <v>868</v>
      </c>
      <c r="L553" s="13">
        <v>46142</v>
      </c>
      <c r="M553" s="15" t="s">
        <v>866</v>
      </c>
    </row>
    <row r="554" spans="1:13" ht="13.15" x14ac:dyDescent="0.45">
      <c r="A554" s="11" t="s">
        <v>869</v>
      </c>
      <c r="B554" s="36">
        <v>1</v>
      </c>
      <c r="C554" s="11" t="s">
        <v>870</v>
      </c>
      <c r="L554" s="13">
        <v>46142</v>
      </c>
      <c r="M554" s="15" t="s">
        <v>866</v>
      </c>
    </row>
    <row r="555" spans="1:13" ht="13.15" x14ac:dyDescent="0.45">
      <c r="A555" s="11" t="s">
        <v>871</v>
      </c>
      <c r="B555" s="36">
        <v>17</v>
      </c>
      <c r="C555" s="11" t="s">
        <v>872</v>
      </c>
      <c r="L555" s="13">
        <v>46142</v>
      </c>
      <c r="M555" s="15" t="s">
        <v>866</v>
      </c>
    </row>
    <row r="556" spans="1:13" ht="13.15" x14ac:dyDescent="0.45">
      <c r="A556" s="11" t="s">
        <v>873</v>
      </c>
      <c r="B556" s="36">
        <v>1</v>
      </c>
      <c r="L556" s="13">
        <v>46142</v>
      </c>
      <c r="M556" s="15" t="s">
        <v>866</v>
      </c>
    </row>
    <row r="557" spans="1:13" ht="13.15" x14ac:dyDescent="0.45">
      <c r="A557" s="11" t="s">
        <v>874</v>
      </c>
      <c r="B557" s="36">
        <v>1</v>
      </c>
      <c r="L557" s="13">
        <v>46142</v>
      </c>
      <c r="M557" s="15" t="s">
        <v>866</v>
      </c>
    </row>
    <row r="558" spans="1:13" ht="13.15" x14ac:dyDescent="0.45">
      <c r="A558" s="11" t="s">
        <v>875</v>
      </c>
      <c r="B558" s="36">
        <v>1</v>
      </c>
      <c r="L558" s="13">
        <v>46142</v>
      </c>
      <c r="M558" s="15" t="s">
        <v>866</v>
      </c>
    </row>
    <row r="559" spans="1:13" ht="13.15" x14ac:dyDescent="0.45">
      <c r="A559" s="11" t="s">
        <v>876</v>
      </c>
      <c r="L559" s="13">
        <v>46142</v>
      </c>
      <c r="M559" s="15" t="s">
        <v>866</v>
      </c>
    </row>
    <row r="560" spans="1:13" ht="13.15" x14ac:dyDescent="0.45">
      <c r="A560" s="11" t="s">
        <v>877</v>
      </c>
      <c r="L560" s="13">
        <v>46142</v>
      </c>
      <c r="M560" s="15" t="s">
        <v>866</v>
      </c>
    </row>
    <row r="561" spans="1:13" ht="13.15" x14ac:dyDescent="0.45">
      <c r="A561" s="11" t="s">
        <v>878</v>
      </c>
      <c r="L561" s="13">
        <v>46142</v>
      </c>
      <c r="M561" s="15" t="s">
        <v>866</v>
      </c>
    </row>
    <row r="562" spans="1:13" ht="13.15" x14ac:dyDescent="0.45">
      <c r="A562" s="11" t="s">
        <v>879</v>
      </c>
      <c r="L562" s="13">
        <v>46142</v>
      </c>
      <c r="M562" s="15" t="s">
        <v>866</v>
      </c>
    </row>
    <row r="563" spans="1:13" ht="13.15" x14ac:dyDescent="0.45">
      <c r="A563" s="11" t="s">
        <v>880</v>
      </c>
      <c r="L563" s="13">
        <v>46142</v>
      </c>
      <c r="M563" s="15" t="s">
        <v>866</v>
      </c>
    </row>
    <row r="564" spans="1:13" ht="13.15" x14ac:dyDescent="0.45">
      <c r="A564" s="11" t="s">
        <v>881</v>
      </c>
      <c r="B564" s="36">
        <v>1</v>
      </c>
      <c r="L564" s="13">
        <v>46142</v>
      </c>
      <c r="M564" s="15" t="s">
        <v>866</v>
      </c>
    </row>
    <row r="565" spans="1:13" ht="13.15" x14ac:dyDescent="0.45">
      <c r="A565" s="11" t="s">
        <v>882</v>
      </c>
      <c r="B565" s="36">
        <v>3</v>
      </c>
      <c r="L565" s="13">
        <v>46142</v>
      </c>
      <c r="M565" s="15" t="s">
        <v>866</v>
      </c>
    </row>
    <row r="566" spans="1:13" ht="13.15" x14ac:dyDescent="0.45">
      <c r="A566" s="11" t="s">
        <v>883</v>
      </c>
      <c r="L566" s="13">
        <v>46142</v>
      </c>
      <c r="M566" s="15" t="s">
        <v>866</v>
      </c>
    </row>
    <row r="567" spans="1:13" ht="13.15" x14ac:dyDescent="0.45">
      <c r="A567" s="11" t="s">
        <v>884</v>
      </c>
      <c r="L567" s="13">
        <v>46142</v>
      </c>
      <c r="M567" s="15" t="s">
        <v>866</v>
      </c>
    </row>
    <row r="568" spans="1:13" ht="13.15" x14ac:dyDescent="0.45">
      <c r="A568" s="11" t="s">
        <v>885</v>
      </c>
      <c r="L568" s="13">
        <v>46142</v>
      </c>
      <c r="M568" s="15" t="s">
        <v>866</v>
      </c>
    </row>
    <row r="569" spans="1:13" ht="14.25" x14ac:dyDescent="0.45">
      <c r="A569" s="11" t="s">
        <v>886</v>
      </c>
      <c r="B569" s="36">
        <v>2</v>
      </c>
      <c r="C569" s="11" t="s">
        <v>887</v>
      </c>
      <c r="D569" s="7" t="s">
        <v>888</v>
      </c>
      <c r="E569" s="37" t="s">
        <v>889</v>
      </c>
      <c r="F569" s="37"/>
      <c r="G569" s="7" t="s">
        <v>890</v>
      </c>
      <c r="H569" s="6" t="s">
        <v>891</v>
      </c>
      <c r="I569" s="6" t="s">
        <v>699</v>
      </c>
      <c r="J569" s="6" t="s">
        <v>700</v>
      </c>
      <c r="K569" s="17">
        <v>55200</v>
      </c>
      <c r="L569" s="13">
        <v>46136</v>
      </c>
      <c r="M569" s="15" t="s">
        <v>32</v>
      </c>
    </row>
    <row r="570" spans="1:13" ht="14.25" x14ac:dyDescent="0.45">
      <c r="A570" s="11" t="s">
        <v>892</v>
      </c>
      <c r="B570" s="36">
        <v>1</v>
      </c>
      <c r="C570" s="11" t="s">
        <v>887</v>
      </c>
      <c r="D570" s="7" t="s">
        <v>888</v>
      </c>
      <c r="E570" s="37" t="s">
        <v>889</v>
      </c>
      <c r="F570" s="37"/>
      <c r="G570" s="7" t="s">
        <v>890</v>
      </c>
      <c r="H570" s="6" t="s">
        <v>891</v>
      </c>
      <c r="I570" s="6" t="s">
        <v>699</v>
      </c>
      <c r="J570" s="6" t="s">
        <v>700</v>
      </c>
      <c r="K570" s="17">
        <v>55200</v>
      </c>
      <c r="L570" s="13">
        <v>46136</v>
      </c>
      <c r="M570" s="15" t="s">
        <v>32</v>
      </c>
    </row>
    <row r="571" spans="1:13" ht="14.25" x14ac:dyDescent="0.45">
      <c r="A571" s="11" t="s">
        <v>893</v>
      </c>
      <c r="B571" s="36">
        <v>1</v>
      </c>
      <c r="C571" s="11" t="s">
        <v>887</v>
      </c>
      <c r="D571" s="7" t="s">
        <v>888</v>
      </c>
      <c r="E571" s="37" t="s">
        <v>889</v>
      </c>
      <c r="F571" s="37"/>
      <c r="G571" s="7" t="s">
        <v>890</v>
      </c>
      <c r="H571" s="6" t="s">
        <v>891</v>
      </c>
      <c r="I571" s="6" t="s">
        <v>699</v>
      </c>
      <c r="J571" s="6" t="s">
        <v>700</v>
      </c>
      <c r="K571" s="17">
        <v>55200</v>
      </c>
      <c r="L571" s="13">
        <v>46136</v>
      </c>
      <c r="M571" s="15" t="s">
        <v>32</v>
      </c>
    </row>
    <row r="572" spans="1:13" ht="13.15" x14ac:dyDescent="0.45">
      <c r="A572" s="11" t="s">
        <v>894</v>
      </c>
      <c r="B572" s="36">
        <v>11</v>
      </c>
      <c r="D572" s="7" t="s">
        <v>895</v>
      </c>
      <c r="G572" s="7" t="s">
        <v>896</v>
      </c>
      <c r="J572" s="6" t="s">
        <v>700</v>
      </c>
      <c r="L572" s="13">
        <v>46142</v>
      </c>
      <c r="M572" s="15" t="s">
        <v>32</v>
      </c>
    </row>
    <row r="573" spans="1:13" ht="13.15" x14ac:dyDescent="0.45">
      <c r="A573" s="11" t="s">
        <v>897</v>
      </c>
      <c r="B573" s="36">
        <v>8</v>
      </c>
      <c r="C573" s="11" t="s">
        <v>898</v>
      </c>
      <c r="D573" s="7" t="s">
        <v>899</v>
      </c>
      <c r="G573" s="6" t="s">
        <v>900</v>
      </c>
      <c r="H573" s="6" t="s">
        <v>901</v>
      </c>
      <c r="I573" s="6" t="s">
        <v>818</v>
      </c>
      <c r="J573" s="6" t="s">
        <v>700</v>
      </c>
      <c r="K573" s="17">
        <v>48020</v>
      </c>
      <c r="L573" s="13">
        <v>46141</v>
      </c>
      <c r="M573" s="15" t="s">
        <v>32</v>
      </c>
    </row>
    <row r="574" spans="1:13" ht="14.25" x14ac:dyDescent="0.45">
      <c r="A574" s="11" t="s">
        <v>902</v>
      </c>
      <c r="B574" s="36">
        <v>1</v>
      </c>
      <c r="D574" s="7" t="s">
        <v>903</v>
      </c>
      <c r="E574" s="37" t="s">
        <v>904</v>
      </c>
      <c r="F574" s="37"/>
      <c r="G574" s="6" t="s">
        <v>905</v>
      </c>
      <c r="I574" s="6" t="s">
        <v>699</v>
      </c>
      <c r="J574" s="6" t="s">
        <v>700</v>
      </c>
      <c r="L574" s="13">
        <v>46140</v>
      </c>
      <c r="M574" s="15" t="s">
        <v>32</v>
      </c>
    </row>
    <row r="575" spans="1:13" ht="13.15" x14ac:dyDescent="0.45">
      <c r="A575" s="11" t="s">
        <v>906</v>
      </c>
      <c r="B575" s="36">
        <v>4</v>
      </c>
      <c r="D575" s="7" t="s">
        <v>907</v>
      </c>
      <c r="G575" s="6" t="s">
        <v>908</v>
      </c>
      <c r="I575" s="6" t="s">
        <v>909</v>
      </c>
      <c r="J575" s="6" t="s">
        <v>700</v>
      </c>
      <c r="L575" s="13">
        <v>46134</v>
      </c>
      <c r="M575" s="15" t="s">
        <v>32</v>
      </c>
    </row>
    <row r="576" spans="1:13" ht="13.15" x14ac:dyDescent="0.45">
      <c r="A576" s="11" t="s">
        <v>910</v>
      </c>
      <c r="B576" s="36">
        <v>1</v>
      </c>
      <c r="C576" s="35"/>
      <c r="G576" s="6" t="s">
        <v>911</v>
      </c>
      <c r="L576" s="13">
        <v>46147</v>
      </c>
      <c r="M576" s="15" t="s">
        <v>866</v>
      </c>
    </row>
    <row r="577" spans="1:13" ht="13.15" x14ac:dyDescent="0.45">
      <c r="A577" s="11" t="s">
        <v>912</v>
      </c>
      <c r="B577" s="36">
        <v>2</v>
      </c>
      <c r="L577" s="13">
        <v>46147</v>
      </c>
      <c r="M577" s="15" t="s">
        <v>866</v>
      </c>
    </row>
    <row r="578" spans="1:13" ht="14.25" x14ac:dyDescent="0.45">
      <c r="A578" s="11" t="s">
        <v>913</v>
      </c>
      <c r="B578" s="36">
        <v>2</v>
      </c>
      <c r="E578" s="37" t="s">
        <v>914</v>
      </c>
      <c r="F578" s="37"/>
      <c r="L578" s="13">
        <v>46147</v>
      </c>
      <c r="M578" s="15" t="s">
        <v>866</v>
      </c>
    </row>
    <row r="579" spans="1:13" ht="14.25" x14ac:dyDescent="0.45">
      <c r="A579" s="11" t="s">
        <v>915</v>
      </c>
      <c r="B579" s="36">
        <v>4</v>
      </c>
      <c r="E579" s="37" t="s">
        <v>916</v>
      </c>
      <c r="F579" s="37"/>
      <c r="L579" s="13">
        <v>46147</v>
      </c>
      <c r="M579" s="15" t="s">
        <v>866</v>
      </c>
    </row>
    <row r="580" spans="1:13" ht="15.75" customHeight="1" x14ac:dyDescent="0.45">
      <c r="A580" s="11" t="s">
        <v>917</v>
      </c>
      <c r="E580" s="38" t="s">
        <v>918</v>
      </c>
      <c r="F580" s="38"/>
      <c r="G580" s="6" t="s">
        <v>919</v>
      </c>
      <c r="L580" s="13">
        <v>46147</v>
      </c>
      <c r="M580" s="15" t="s">
        <v>866</v>
      </c>
    </row>
    <row r="581" spans="1:13" ht="14.25" x14ac:dyDescent="0.45">
      <c r="A581" s="11" t="s">
        <v>920</v>
      </c>
      <c r="B581" s="36">
        <v>1</v>
      </c>
      <c r="E581" s="37" t="s">
        <v>921</v>
      </c>
      <c r="F581" s="37"/>
      <c r="L581" s="13">
        <v>46147</v>
      </c>
      <c r="M581" s="15" t="s">
        <v>866</v>
      </c>
    </row>
    <row r="582" spans="1:13" ht="13.15" x14ac:dyDescent="0.45">
      <c r="A582" s="11" t="s">
        <v>482</v>
      </c>
      <c r="B582" s="36">
        <v>16</v>
      </c>
      <c r="L582" s="13">
        <v>46147</v>
      </c>
      <c r="M582" s="15" t="s">
        <v>866</v>
      </c>
    </row>
    <row r="583" spans="1:13" ht="13.15" x14ac:dyDescent="0.45">
      <c r="A583" s="11" t="s">
        <v>922</v>
      </c>
      <c r="B583" s="36">
        <v>3</v>
      </c>
      <c r="G583" s="6" t="s">
        <v>923</v>
      </c>
      <c r="L583" s="13">
        <v>46147</v>
      </c>
      <c r="M583" s="15" t="s">
        <v>866</v>
      </c>
    </row>
    <row r="584" spans="1:13" ht="14.25" x14ac:dyDescent="0.45">
      <c r="A584" s="11" t="s">
        <v>924</v>
      </c>
      <c r="B584" s="36">
        <v>1</v>
      </c>
      <c r="E584" s="37" t="s">
        <v>925</v>
      </c>
      <c r="F584" s="37"/>
      <c r="L584" s="13">
        <v>46147</v>
      </c>
      <c r="M584" s="15" t="s">
        <v>866</v>
      </c>
    </row>
    <row r="585" spans="1:13" ht="14.25" x14ac:dyDescent="0.45">
      <c r="A585" s="11" t="s">
        <v>926</v>
      </c>
      <c r="B585" s="36">
        <v>1</v>
      </c>
      <c r="E585" s="37" t="s">
        <v>927</v>
      </c>
      <c r="F585" s="37"/>
      <c r="L585" s="13">
        <v>46147</v>
      </c>
      <c r="M585" s="15" t="s">
        <v>866</v>
      </c>
    </row>
    <row r="586" spans="1:13" ht="13.15" x14ac:dyDescent="0.45">
      <c r="A586" s="11" t="s">
        <v>928</v>
      </c>
      <c r="B586" s="36">
        <v>3</v>
      </c>
      <c r="L586" s="13">
        <v>46153</v>
      </c>
      <c r="M586" s="15" t="s">
        <v>866</v>
      </c>
    </row>
    <row r="587" spans="1:13" ht="14.25" x14ac:dyDescent="0.45">
      <c r="A587" s="11" t="s">
        <v>929</v>
      </c>
      <c r="B587" s="36">
        <v>5</v>
      </c>
      <c r="C587" s="11" t="s">
        <v>930</v>
      </c>
      <c r="D587" s="7" t="s">
        <v>931</v>
      </c>
      <c r="E587" s="37" t="s">
        <v>932</v>
      </c>
      <c r="F587" s="5" t="s">
        <v>933</v>
      </c>
      <c r="G587" s="6" t="s">
        <v>934</v>
      </c>
      <c r="L587" s="13">
        <v>46153</v>
      </c>
      <c r="M587" s="15" t="s">
        <v>866</v>
      </c>
    </row>
    <row r="588" spans="1:13" ht="13.15" x14ac:dyDescent="0.45">
      <c r="A588" s="11" t="s">
        <v>935</v>
      </c>
      <c r="L588" s="13">
        <v>46153</v>
      </c>
      <c r="M588" s="15" t="s">
        <v>866</v>
      </c>
    </row>
    <row r="589" spans="1:13" ht="13.15" x14ac:dyDescent="0.45">
      <c r="A589" s="11" t="s">
        <v>936</v>
      </c>
      <c r="L589" s="13">
        <v>46153</v>
      </c>
      <c r="M589" s="15" t="s">
        <v>866</v>
      </c>
    </row>
    <row r="590" spans="1:13" ht="13.15" x14ac:dyDescent="0.45">
      <c r="A590" s="11" t="s">
        <v>937</v>
      </c>
      <c r="B590" s="36">
        <v>5</v>
      </c>
      <c r="L590" s="13">
        <v>46153</v>
      </c>
      <c r="M590" s="15" t="s">
        <v>866</v>
      </c>
    </row>
    <row r="591" spans="1:13" ht="13.15" x14ac:dyDescent="0.45">
      <c r="A591" s="11" t="s">
        <v>938</v>
      </c>
      <c r="L591" s="13">
        <v>46153</v>
      </c>
      <c r="M591" s="15" t="s">
        <v>866</v>
      </c>
    </row>
    <row r="592" spans="1:13" ht="13.15" x14ac:dyDescent="0.45">
      <c r="A592" s="11" t="s">
        <v>939</v>
      </c>
      <c r="B592" s="36">
        <v>1</v>
      </c>
      <c r="L592" s="13">
        <v>46153</v>
      </c>
      <c r="M592" s="15" t="s">
        <v>32</v>
      </c>
    </row>
    <row r="593" spans="1:13" ht="14.25" x14ac:dyDescent="0.45">
      <c r="A593" s="11" t="s">
        <v>940</v>
      </c>
      <c r="E593" s="37" t="s">
        <v>941</v>
      </c>
      <c r="F593" s="37"/>
      <c r="G593" s="6" t="s">
        <v>942</v>
      </c>
      <c r="L593" s="13">
        <v>46160</v>
      </c>
      <c r="M593" s="15" t="s">
        <v>866</v>
      </c>
    </row>
    <row r="594" spans="1:13" ht="13.15" x14ac:dyDescent="0.45">
      <c r="A594" s="11" t="s">
        <v>943</v>
      </c>
      <c r="B594" s="36">
        <v>2</v>
      </c>
      <c r="L594" s="13">
        <v>46160</v>
      </c>
      <c r="M594" s="15" t="s">
        <v>866</v>
      </c>
    </row>
    <row r="595" spans="1:13" ht="13.15" x14ac:dyDescent="0.45">
      <c r="A595" s="11" t="s">
        <v>944</v>
      </c>
      <c r="B595" s="36">
        <v>3</v>
      </c>
      <c r="G595" s="6" t="s">
        <v>945</v>
      </c>
      <c r="L595" s="13">
        <v>46160</v>
      </c>
      <c r="M595" s="15" t="s">
        <v>866</v>
      </c>
    </row>
    <row r="596" spans="1:13" ht="13.15" x14ac:dyDescent="0.45">
      <c r="A596" s="11" t="s">
        <v>946</v>
      </c>
      <c r="G596" s="6" t="s">
        <v>947</v>
      </c>
      <c r="L596" s="13">
        <v>46160</v>
      </c>
      <c r="M596" s="15" t="s">
        <v>866</v>
      </c>
    </row>
    <row r="597" spans="1:13" ht="13.15" x14ac:dyDescent="0.45">
      <c r="A597" s="11" t="s">
        <v>948</v>
      </c>
      <c r="B597" s="36">
        <v>1</v>
      </c>
      <c r="D597" s="7" t="s">
        <v>949</v>
      </c>
      <c r="G597" s="6" t="s">
        <v>950</v>
      </c>
      <c r="L597" s="13">
        <v>46160</v>
      </c>
      <c r="M597" s="15" t="s">
        <v>32</v>
      </c>
    </row>
    <row r="598" spans="1:13" ht="13.15" x14ac:dyDescent="0.45">
      <c r="A598" s="11" t="s">
        <v>951</v>
      </c>
      <c r="L598" s="13">
        <v>46160</v>
      </c>
      <c r="M598" s="15" t="s">
        <v>32</v>
      </c>
    </row>
    <row r="599" spans="1:13" ht="13.15" x14ac:dyDescent="0.45">
      <c r="A599" s="11" t="s">
        <v>952</v>
      </c>
      <c r="B599" s="36">
        <v>1</v>
      </c>
      <c r="D599" s="7" t="s">
        <v>953</v>
      </c>
      <c r="G599" s="6" t="s">
        <v>954</v>
      </c>
      <c r="L599" s="13">
        <v>46160</v>
      </c>
      <c r="M599" s="15" t="s">
        <v>32</v>
      </c>
    </row>
    <row r="600" spans="1:13" ht="13.15" x14ac:dyDescent="0.45">
      <c r="A600" s="11" t="s">
        <v>955</v>
      </c>
      <c r="B600" s="36">
        <v>1</v>
      </c>
      <c r="D600" s="7" t="s">
        <v>956</v>
      </c>
      <c r="G600" s="6" t="s">
        <v>957</v>
      </c>
      <c r="L600" s="13">
        <v>46160</v>
      </c>
      <c r="M600" s="15" t="s">
        <v>32</v>
      </c>
    </row>
    <row r="601" spans="1:13" ht="13.15" x14ac:dyDescent="0.45">
      <c r="A601" s="11" t="s">
        <v>958</v>
      </c>
      <c r="B601" s="36">
        <v>6</v>
      </c>
      <c r="D601" s="7" t="s">
        <v>959</v>
      </c>
      <c r="G601" s="6" t="s">
        <v>960</v>
      </c>
      <c r="L601" s="13">
        <v>46167</v>
      </c>
      <c r="M601" s="15" t="s">
        <v>866</v>
      </c>
    </row>
    <row r="602" spans="1:13" ht="13.15" x14ac:dyDescent="0.45">
      <c r="A602" s="11" t="s">
        <v>961</v>
      </c>
      <c r="D602" s="7" t="s">
        <v>962</v>
      </c>
      <c r="G602" s="6" t="s">
        <v>963</v>
      </c>
      <c r="L602" s="13">
        <v>46167</v>
      </c>
      <c r="M602" s="15" t="s">
        <v>866</v>
      </c>
    </row>
    <row r="603" spans="1:13" ht="14.25" x14ac:dyDescent="0.45">
      <c r="A603" s="11" t="s">
        <v>964</v>
      </c>
      <c r="B603" s="36">
        <v>6</v>
      </c>
      <c r="C603" s="11" t="s">
        <v>965</v>
      </c>
      <c r="D603" s="7" t="s">
        <v>966</v>
      </c>
      <c r="E603" s="37" t="s">
        <v>967</v>
      </c>
      <c r="F603" s="5" t="s">
        <v>968</v>
      </c>
      <c r="G603" s="6" t="s">
        <v>969</v>
      </c>
      <c r="L603" s="13">
        <v>46167</v>
      </c>
      <c r="M603" s="15" t="s">
        <v>866</v>
      </c>
    </row>
    <row r="604" spans="1:13" ht="14.25" x14ac:dyDescent="0.45">
      <c r="A604" s="11" t="s">
        <v>970</v>
      </c>
      <c r="B604" s="36">
        <v>44</v>
      </c>
      <c r="C604" s="11" t="s">
        <v>971</v>
      </c>
      <c r="D604" s="7" t="s">
        <v>972</v>
      </c>
      <c r="E604" s="37" t="s">
        <v>973</v>
      </c>
      <c r="F604" s="5" t="s">
        <v>968</v>
      </c>
      <c r="G604" s="6" t="s">
        <v>974</v>
      </c>
      <c r="L604" s="13">
        <v>46167</v>
      </c>
      <c r="M604" s="15" t="s">
        <v>866</v>
      </c>
    </row>
    <row r="605" spans="1:13" ht="14.25" x14ac:dyDescent="0.45">
      <c r="A605" s="11" t="s">
        <v>975</v>
      </c>
      <c r="B605" s="36">
        <v>37</v>
      </c>
      <c r="C605" s="11" t="s">
        <v>976</v>
      </c>
      <c r="D605" s="7" t="s">
        <v>977</v>
      </c>
      <c r="E605" s="37" t="s">
        <v>978</v>
      </c>
      <c r="F605" s="37"/>
      <c r="G605" s="6" t="s">
        <v>979</v>
      </c>
      <c r="H605" s="6" t="s">
        <v>980</v>
      </c>
      <c r="I605" s="6" t="s">
        <v>818</v>
      </c>
      <c r="J605" s="6" t="s">
        <v>700</v>
      </c>
      <c r="K605" s="17">
        <v>47100</v>
      </c>
      <c r="L605" s="13">
        <v>46167</v>
      </c>
      <c r="M605" s="15" t="s">
        <v>32</v>
      </c>
    </row>
    <row r="606" spans="1:13" ht="14.25" x14ac:dyDescent="0.45">
      <c r="A606" s="11" t="s">
        <v>981</v>
      </c>
      <c r="B606" s="36">
        <v>168</v>
      </c>
      <c r="C606" s="11" t="s">
        <v>982</v>
      </c>
      <c r="D606" s="7" t="s">
        <v>983</v>
      </c>
      <c r="E606" s="37" t="s">
        <v>984</v>
      </c>
      <c r="F606" s="37"/>
      <c r="G606" s="6" t="s">
        <v>985</v>
      </c>
      <c r="H606" s="6" t="s">
        <v>986</v>
      </c>
      <c r="I606" s="6" t="s">
        <v>987</v>
      </c>
      <c r="J606" s="6" t="s">
        <v>700</v>
      </c>
      <c r="K606" s="17">
        <v>93400</v>
      </c>
      <c r="L606" s="13">
        <v>46167</v>
      </c>
      <c r="M606" s="15" t="s">
        <v>32</v>
      </c>
    </row>
    <row r="607" spans="1:13" ht="14.25" x14ac:dyDescent="0.45">
      <c r="A607" s="11" t="s">
        <v>988</v>
      </c>
      <c r="B607" s="36">
        <v>4</v>
      </c>
      <c r="C607" s="11" t="s">
        <v>989</v>
      </c>
      <c r="D607" s="7" t="s">
        <v>990</v>
      </c>
      <c r="E607" s="37" t="s">
        <v>991</v>
      </c>
      <c r="F607" s="37"/>
      <c r="G607" s="6" t="s">
        <v>992</v>
      </c>
      <c r="H607" s="6" t="s">
        <v>993</v>
      </c>
      <c r="I607" s="6" t="s">
        <v>818</v>
      </c>
      <c r="J607" s="6" t="s">
        <v>700</v>
      </c>
      <c r="K607" s="17">
        <v>43300</v>
      </c>
      <c r="L607" s="13">
        <v>46167</v>
      </c>
      <c r="M607" s="15" t="s">
        <v>32</v>
      </c>
    </row>
    <row r="608" spans="1:13" ht="14.25" x14ac:dyDescent="0.45">
      <c r="A608" s="11" t="s">
        <v>994</v>
      </c>
      <c r="B608" s="36">
        <v>5</v>
      </c>
      <c r="D608" s="7" t="s">
        <v>995</v>
      </c>
      <c r="E608" s="37" t="s">
        <v>996</v>
      </c>
      <c r="F608" s="37"/>
      <c r="G608" s="6" t="s">
        <v>997</v>
      </c>
      <c r="H608" s="6" t="s">
        <v>998</v>
      </c>
      <c r="I608" s="6" t="s">
        <v>818</v>
      </c>
      <c r="J608" s="6" t="s">
        <v>700</v>
      </c>
      <c r="K608" s="17">
        <v>47301</v>
      </c>
      <c r="L608" s="13">
        <v>46167</v>
      </c>
      <c r="M608" s="15" t="s">
        <v>32</v>
      </c>
    </row>
    <row r="609" spans="1:13" ht="13.15" x14ac:dyDescent="0.45">
      <c r="A609" s="11" t="s">
        <v>999</v>
      </c>
      <c r="B609" s="36">
        <v>10</v>
      </c>
      <c r="C609" s="11" t="s">
        <v>1000</v>
      </c>
      <c r="L609" s="13">
        <v>46171</v>
      </c>
      <c r="M609" s="15" t="s">
        <v>32</v>
      </c>
    </row>
    <row r="610" spans="1:13" ht="13.15" x14ac:dyDescent="0.45">
      <c r="A610" s="11" t="s">
        <v>1001</v>
      </c>
      <c r="B610" s="36">
        <v>18</v>
      </c>
      <c r="C610" s="11" t="s">
        <v>1002</v>
      </c>
      <c r="L610" s="13">
        <v>46171</v>
      </c>
      <c r="M610" s="15" t="s">
        <v>32</v>
      </c>
    </row>
    <row r="611" spans="1:13" ht="13.15" x14ac:dyDescent="0.45">
      <c r="A611" s="11" t="s">
        <v>415</v>
      </c>
      <c r="B611" s="36">
        <v>15</v>
      </c>
      <c r="C611" s="11" t="s">
        <v>1003</v>
      </c>
      <c r="L611" s="13">
        <v>46171</v>
      </c>
      <c r="M611" s="15" t="s">
        <v>32</v>
      </c>
    </row>
    <row r="612" spans="1:13" ht="13.15" x14ac:dyDescent="0.45">
      <c r="A612" s="11" t="s">
        <v>658</v>
      </c>
      <c r="B612" s="36">
        <v>28</v>
      </c>
      <c r="C612" s="11" t="s">
        <v>659</v>
      </c>
      <c r="L612" s="13">
        <v>46171</v>
      </c>
      <c r="M612" s="15" t="s">
        <v>32</v>
      </c>
    </row>
    <row r="613" spans="1:13" ht="13.15" x14ac:dyDescent="0.45">
      <c r="A613" s="11" t="s">
        <v>1004</v>
      </c>
      <c r="B613" s="36">
        <v>36</v>
      </c>
      <c r="C613" s="11" t="s">
        <v>1005</v>
      </c>
      <c r="L613" s="13">
        <v>46171</v>
      </c>
      <c r="M613" s="15" t="s">
        <v>32</v>
      </c>
    </row>
    <row r="614" spans="1:13" ht="13.15" x14ac:dyDescent="0.45">
      <c r="A614" s="11" t="s">
        <v>1006</v>
      </c>
      <c r="B614" s="36">
        <v>12</v>
      </c>
      <c r="C614" s="11" t="s">
        <v>1007</v>
      </c>
      <c r="L614" s="13">
        <v>46171</v>
      </c>
      <c r="M614" s="15" t="s">
        <v>866</v>
      </c>
    </row>
    <row r="615" spans="1:13" ht="13.15" x14ac:dyDescent="0.45">
      <c r="A615" s="11" t="s">
        <v>1008</v>
      </c>
      <c r="L615" s="13">
        <v>46171</v>
      </c>
      <c r="M615" s="15" t="s">
        <v>866</v>
      </c>
    </row>
    <row r="616" spans="1:13" ht="14.25" x14ac:dyDescent="0.45">
      <c r="A616" s="11" t="s">
        <v>1009</v>
      </c>
      <c r="B616" s="36">
        <v>5</v>
      </c>
      <c r="C616" s="11" t="s">
        <v>1010</v>
      </c>
      <c r="D616" s="7" t="s">
        <v>1011</v>
      </c>
      <c r="E616" s="37" t="s">
        <v>1012</v>
      </c>
      <c r="F616" s="5" t="s">
        <v>1013</v>
      </c>
      <c r="G616" s="6" t="s">
        <v>1014</v>
      </c>
      <c r="L616" s="13">
        <v>46171</v>
      </c>
      <c r="M616" s="15" t="s">
        <v>866</v>
      </c>
    </row>
    <row r="617" spans="1:13" ht="13.15" x14ac:dyDescent="0.45">
      <c r="A617" s="11" t="s">
        <v>453</v>
      </c>
      <c r="L617" s="13">
        <v>46171</v>
      </c>
      <c r="M617" s="15" t="s">
        <v>866</v>
      </c>
    </row>
    <row r="618" spans="1:13" ht="13.15" x14ac:dyDescent="0.45">
      <c r="A618" s="11" t="s">
        <v>1015</v>
      </c>
      <c r="B618" s="36">
        <v>13</v>
      </c>
      <c r="L618" s="13">
        <v>46176</v>
      </c>
      <c r="M618" s="15" t="s">
        <v>866</v>
      </c>
    </row>
    <row r="619" spans="1:13" ht="14.25" x14ac:dyDescent="0.45">
      <c r="A619" s="11" t="s">
        <v>1016</v>
      </c>
      <c r="B619" s="36">
        <v>250</v>
      </c>
      <c r="C619" s="11" t="s">
        <v>1017</v>
      </c>
      <c r="D619" s="11" t="s">
        <v>1018</v>
      </c>
      <c r="E619" s="37" t="s">
        <v>1019</v>
      </c>
      <c r="F619" s="5" t="s">
        <v>1020</v>
      </c>
      <c r="G619" s="6" t="s">
        <v>1021</v>
      </c>
      <c r="L619" s="13">
        <v>46176</v>
      </c>
      <c r="M619" s="15" t="s">
        <v>866</v>
      </c>
    </row>
    <row r="620" spans="1:13" ht="14.25" x14ac:dyDescent="0.45">
      <c r="A620" s="11" t="s">
        <v>1022</v>
      </c>
      <c r="C620" s="11" t="s">
        <v>1023</v>
      </c>
      <c r="D620" s="7" t="s">
        <v>1024</v>
      </c>
      <c r="E620" s="37" t="s">
        <v>1025</v>
      </c>
      <c r="F620" s="5" t="s">
        <v>1026</v>
      </c>
      <c r="G620" s="6" t="s">
        <v>1027</v>
      </c>
      <c r="L620" s="13">
        <v>46176</v>
      </c>
      <c r="M620" s="15" t="s">
        <v>866</v>
      </c>
    </row>
    <row r="621" spans="1:13" ht="13.15" x14ac:dyDescent="0.45">
      <c r="A621" s="11" t="s">
        <v>1028</v>
      </c>
      <c r="B621" s="36">
        <v>3</v>
      </c>
      <c r="L621" s="13">
        <v>46176</v>
      </c>
      <c r="M621" s="15" t="s">
        <v>866</v>
      </c>
    </row>
    <row r="622" spans="1:13" ht="13.15" x14ac:dyDescent="0.45">
      <c r="A622" s="11" t="s">
        <v>1029</v>
      </c>
      <c r="B622" s="36">
        <v>5</v>
      </c>
      <c r="L622" s="13">
        <v>46176</v>
      </c>
      <c r="M622" s="15" t="s">
        <v>866</v>
      </c>
    </row>
    <row r="623" spans="1:13" ht="13.15" x14ac:dyDescent="0.45">
      <c r="A623" s="11" t="s">
        <v>1030</v>
      </c>
      <c r="B623" s="36">
        <v>2</v>
      </c>
      <c r="C623" s="11" t="s">
        <v>1031</v>
      </c>
      <c r="D623" s="7" t="s">
        <v>1032</v>
      </c>
      <c r="L623" s="13">
        <v>46176</v>
      </c>
      <c r="M623" s="15" t="s">
        <v>32</v>
      </c>
    </row>
    <row r="624" spans="1:13" ht="14.25" x14ac:dyDescent="0.45">
      <c r="A624" s="11" t="s">
        <v>1033</v>
      </c>
      <c r="B624" s="36">
        <v>4</v>
      </c>
      <c r="C624" s="11" t="s">
        <v>1034</v>
      </c>
      <c r="D624" s="7" t="s">
        <v>1035</v>
      </c>
      <c r="E624" s="37" t="s">
        <v>1036</v>
      </c>
      <c r="F624" s="5" t="s">
        <v>1013</v>
      </c>
      <c r="G624" s="6" t="s">
        <v>1037</v>
      </c>
      <c r="L624" s="13">
        <v>46177</v>
      </c>
      <c r="M624" s="15" t="s">
        <v>866</v>
      </c>
    </row>
    <row r="625" spans="1:13" ht="13.15" x14ac:dyDescent="0.45">
      <c r="A625" s="11" t="s">
        <v>1038</v>
      </c>
      <c r="B625" s="36">
        <v>10</v>
      </c>
      <c r="C625" s="11" t="s">
        <v>1039</v>
      </c>
      <c r="D625" s="7" t="s">
        <v>1040</v>
      </c>
      <c r="G625" s="6" t="s">
        <v>1041</v>
      </c>
      <c r="L625" s="13">
        <v>46177</v>
      </c>
      <c r="M625" s="15" t="s">
        <v>32</v>
      </c>
    </row>
    <row r="626" spans="1:13" ht="13.15" x14ac:dyDescent="0.45">
      <c r="A626" s="11" t="s">
        <v>1042</v>
      </c>
      <c r="B626" s="36">
        <v>3</v>
      </c>
      <c r="C626" s="11" t="s">
        <v>1043</v>
      </c>
      <c r="D626" s="7" t="s">
        <v>1044</v>
      </c>
      <c r="G626" s="6" t="s">
        <v>1045</v>
      </c>
      <c r="L626" s="13">
        <v>46177</v>
      </c>
      <c r="M626" s="15" t="s">
        <v>32</v>
      </c>
    </row>
    <row r="627" spans="1:13" ht="14.25" x14ac:dyDescent="0.45">
      <c r="A627" s="11" t="s">
        <v>1046</v>
      </c>
      <c r="B627" s="36">
        <v>6</v>
      </c>
      <c r="C627" s="11" t="s">
        <v>1047</v>
      </c>
      <c r="D627" s="7" t="s">
        <v>1048</v>
      </c>
      <c r="E627" s="37" t="s">
        <v>1049</v>
      </c>
      <c r="G627" s="6">
        <v>182619410</v>
      </c>
      <c r="L627" s="13">
        <v>46183</v>
      </c>
      <c r="M627" s="15" t="s">
        <v>866</v>
      </c>
    </row>
    <row r="628" spans="1:13" ht="13.15" x14ac:dyDescent="0.45">
      <c r="A628" s="11" t="s">
        <v>1050</v>
      </c>
      <c r="B628" s="36">
        <v>2</v>
      </c>
      <c r="L628" s="13">
        <v>46185</v>
      </c>
      <c r="M628" s="15" t="s">
        <v>866</v>
      </c>
    </row>
    <row r="629" spans="1:13" ht="13.15" x14ac:dyDescent="0.45">
      <c r="A629" s="11" t="s">
        <v>1051</v>
      </c>
      <c r="B629" s="36">
        <v>1</v>
      </c>
      <c r="C629" s="11" t="s">
        <v>1052</v>
      </c>
      <c r="L629" s="13">
        <v>46188</v>
      </c>
      <c r="M629" s="15" t="s">
        <v>32</v>
      </c>
    </row>
    <row r="630" spans="1:13" ht="13.15" x14ac:dyDescent="0.45">
      <c r="A630" s="11" t="s">
        <v>1053</v>
      </c>
      <c r="B630" s="36">
        <v>1</v>
      </c>
      <c r="C630" s="11" t="s">
        <v>1052</v>
      </c>
      <c r="L630" s="13">
        <v>46188</v>
      </c>
      <c r="M630" s="15" t="s">
        <v>32</v>
      </c>
    </row>
    <row r="631" spans="1:13" ht="13.5" customHeight="1" x14ac:dyDescent="0.45">
      <c r="A631" s="11" t="s">
        <v>1054</v>
      </c>
      <c r="B631" s="36">
        <v>5</v>
      </c>
      <c r="C631" s="11" t="s">
        <v>1055</v>
      </c>
      <c r="D631" s="7" t="s">
        <v>1056</v>
      </c>
      <c r="F631" s="5" t="s">
        <v>1057</v>
      </c>
      <c r="G631" s="6" t="s">
        <v>1058</v>
      </c>
      <c r="L631" s="13">
        <v>46189</v>
      </c>
      <c r="M631" s="15" t="s">
        <v>866</v>
      </c>
    </row>
    <row r="632" spans="1:13" ht="13.5" customHeight="1" x14ac:dyDescent="0.45">
      <c r="A632" s="11" t="s">
        <v>1059</v>
      </c>
      <c r="B632" s="36">
        <v>3</v>
      </c>
      <c r="L632" s="13">
        <v>46191</v>
      </c>
      <c r="M632" s="15" t="s">
        <v>866</v>
      </c>
    </row>
    <row r="633" spans="1:13" ht="13.5" customHeight="1" x14ac:dyDescent="0.45">
      <c r="A633" s="11" t="s">
        <v>1060</v>
      </c>
      <c r="B633" s="36">
        <v>20</v>
      </c>
      <c r="C633" s="11" t="s">
        <v>1061</v>
      </c>
      <c r="G633" s="6" t="s">
        <v>1062</v>
      </c>
      <c r="L633" s="13">
        <v>46192</v>
      </c>
      <c r="M633" s="15" t="s">
        <v>866</v>
      </c>
    </row>
    <row r="634" spans="1:13" ht="13.5" customHeight="1" x14ac:dyDescent="0.45">
      <c r="A634" s="11" t="s">
        <v>1063</v>
      </c>
      <c r="B634" s="36">
        <v>1</v>
      </c>
      <c r="C634" s="11" t="s">
        <v>1064</v>
      </c>
      <c r="D634" s="7" t="s">
        <v>1065</v>
      </c>
      <c r="E634" s="37" t="s">
        <v>1066</v>
      </c>
      <c r="F634" s="5" t="s">
        <v>1067</v>
      </c>
      <c r="G634" s="6" t="s">
        <v>1068</v>
      </c>
      <c r="L634" s="13">
        <v>46192</v>
      </c>
      <c r="M634" s="15" t="s">
        <v>866</v>
      </c>
    </row>
    <row r="635" spans="1:13" ht="13.5" customHeight="1" x14ac:dyDescent="0.45">
      <c r="A635" s="11" t="s">
        <v>344</v>
      </c>
      <c r="B635" s="36">
        <v>5</v>
      </c>
      <c r="C635" s="11" t="s">
        <v>1069</v>
      </c>
      <c r="D635" s="7" t="s">
        <v>1070</v>
      </c>
      <c r="F635" s="5" t="s">
        <v>933</v>
      </c>
      <c r="G635" s="6" t="s">
        <v>1071</v>
      </c>
      <c r="L635" s="13">
        <v>46195</v>
      </c>
      <c r="M635" s="15" t="s">
        <v>866</v>
      </c>
    </row>
    <row r="636" spans="1:13" ht="13.5" customHeight="1" x14ac:dyDescent="0.45">
      <c r="A636" s="11" t="s">
        <v>1072</v>
      </c>
      <c r="B636" s="36">
        <v>1</v>
      </c>
      <c r="L636" s="13">
        <v>46195</v>
      </c>
      <c r="M636" s="15" t="s">
        <v>866</v>
      </c>
    </row>
    <row r="637" spans="1:13" ht="13.5" customHeight="1" x14ac:dyDescent="0.45">
      <c r="A637" s="11" t="s">
        <v>1073</v>
      </c>
      <c r="B637" s="36">
        <v>3</v>
      </c>
      <c r="C637" t="s">
        <v>1074</v>
      </c>
      <c r="L637" s="13">
        <v>46195</v>
      </c>
      <c r="M637" s="15" t="s">
        <v>32</v>
      </c>
    </row>
    <row r="638" spans="1:13" ht="52.5" x14ac:dyDescent="0.45">
      <c r="A638" s="11" t="s">
        <v>1075</v>
      </c>
      <c r="B638" s="36">
        <v>46</v>
      </c>
      <c r="C638" s="11" t="s">
        <v>1076</v>
      </c>
      <c r="D638" s="41" t="s">
        <v>1077</v>
      </c>
      <c r="E638" s="40" t="s">
        <v>1078</v>
      </c>
      <c r="F638" s="40" t="s">
        <v>1079</v>
      </c>
      <c r="L638" s="13">
        <v>46195</v>
      </c>
      <c r="M638" s="15" t="s">
        <v>32</v>
      </c>
    </row>
    <row r="639" spans="1:13" ht="13.5" customHeight="1" x14ac:dyDescent="0.45">
      <c r="A639" s="11" t="s">
        <v>1080</v>
      </c>
      <c r="B639" s="36">
        <v>15</v>
      </c>
      <c r="E639" s="37" t="s">
        <v>1081</v>
      </c>
      <c r="G639" s="6" t="s">
        <v>1082</v>
      </c>
      <c r="L639" s="13">
        <v>46195</v>
      </c>
      <c r="M639" s="15" t="s">
        <v>866</v>
      </c>
    </row>
    <row r="640" spans="1:13" ht="13.5" customHeight="1" x14ac:dyDescent="0.45">
      <c r="A640" s="11" t="s">
        <v>1083</v>
      </c>
      <c r="B640" s="36">
        <v>5</v>
      </c>
      <c r="E640" s="37" t="s">
        <v>1084</v>
      </c>
      <c r="G640" s="6" t="s">
        <v>1085</v>
      </c>
      <c r="L640" s="13">
        <v>46195</v>
      </c>
      <c r="M640" s="15" t="s">
        <v>866</v>
      </c>
    </row>
    <row r="641" spans="1:13" ht="13.5" customHeight="1" x14ac:dyDescent="0.45">
      <c r="A641" s="11" t="s">
        <v>1086</v>
      </c>
      <c r="B641" s="36">
        <v>40</v>
      </c>
      <c r="D641" s="7" t="s">
        <v>1087</v>
      </c>
      <c r="E641" s="37" t="s">
        <v>1088</v>
      </c>
      <c r="F641" s="5" t="s">
        <v>1089</v>
      </c>
      <c r="G641" s="6" t="s">
        <v>1090</v>
      </c>
      <c r="L641" s="13">
        <v>46195</v>
      </c>
      <c r="M641" s="15" t="s">
        <v>866</v>
      </c>
    </row>
    <row r="642" spans="1:13" ht="13.5" customHeight="1" x14ac:dyDescent="0.45">
      <c r="A642" s="11" t="s">
        <v>1091</v>
      </c>
      <c r="E642" s="37" t="s">
        <v>1092</v>
      </c>
      <c r="G642" s="6" t="s">
        <v>1093</v>
      </c>
      <c r="M642" s="15" t="s">
        <v>866</v>
      </c>
    </row>
    <row r="643" spans="1:13" ht="13.5" customHeight="1" x14ac:dyDescent="0.45">
      <c r="A643" s="11" t="s">
        <v>1094</v>
      </c>
      <c r="B643" s="36">
        <v>3</v>
      </c>
      <c r="C643" s="11" t="s">
        <v>1095</v>
      </c>
      <c r="D643" s="7" t="s">
        <v>1096</v>
      </c>
      <c r="G643" s="6" t="s">
        <v>1097</v>
      </c>
      <c r="L643" s="13">
        <v>46199</v>
      </c>
      <c r="M643" s="15" t="s">
        <v>32</v>
      </c>
    </row>
    <row r="644" spans="1:13" ht="13.5" customHeight="1" x14ac:dyDescent="0.45">
      <c r="A644" s="11" t="s">
        <v>1098</v>
      </c>
      <c r="B644" s="36">
        <v>1</v>
      </c>
      <c r="C644" s="11" t="s">
        <v>1099</v>
      </c>
      <c r="D644" s="7" t="s">
        <v>1100</v>
      </c>
      <c r="G644" s="6" t="s">
        <v>1101</v>
      </c>
      <c r="L644" s="13">
        <v>46199</v>
      </c>
      <c r="M644" s="15" t="s">
        <v>32</v>
      </c>
    </row>
    <row r="645" spans="1:13" ht="13.5" customHeight="1" x14ac:dyDescent="0.45">
      <c r="A645" s="11" t="s">
        <v>1102</v>
      </c>
      <c r="B645" s="36">
        <v>2</v>
      </c>
      <c r="D645" s="7" t="s">
        <v>1103</v>
      </c>
      <c r="L645" s="13">
        <v>46198</v>
      </c>
      <c r="M645" s="15" t="s">
        <v>32</v>
      </c>
    </row>
    <row r="646" spans="1:13" ht="13.5" customHeight="1" x14ac:dyDescent="0.45">
      <c r="A646" s="11" t="s">
        <v>1104</v>
      </c>
      <c r="B646" s="36">
        <v>1</v>
      </c>
      <c r="D646" s="7" t="s">
        <v>1105</v>
      </c>
      <c r="F646" s="5" t="s">
        <v>1106</v>
      </c>
      <c r="G646" s="6" t="s">
        <v>1107</v>
      </c>
      <c r="L646" s="13">
        <v>46198</v>
      </c>
      <c r="M646" s="15" t="s">
        <v>32</v>
      </c>
    </row>
    <row r="647" spans="1:13" ht="13.5" customHeight="1" x14ac:dyDescent="0.45">
      <c r="A647" s="11" t="s">
        <v>1108</v>
      </c>
      <c r="M647" s="15" t="s">
        <v>866</v>
      </c>
    </row>
    <row r="648" spans="1:13" ht="13.5" customHeight="1" x14ac:dyDescent="0.45">
      <c r="A648" s="11" t="s">
        <v>363</v>
      </c>
      <c r="M648" s="15" t="s">
        <v>866</v>
      </c>
    </row>
    <row r="649" spans="1:13" ht="13.5" customHeight="1" x14ac:dyDescent="0.45">
      <c r="A649" s="11" t="s">
        <v>1109</v>
      </c>
      <c r="B649" s="36">
        <v>55</v>
      </c>
      <c r="E649" s="37" t="s">
        <v>1110</v>
      </c>
      <c r="L649" s="13">
        <v>46202</v>
      </c>
      <c r="M649" s="15" t="s">
        <v>866</v>
      </c>
    </row>
    <row r="650" spans="1:13" ht="13.5" customHeight="1" x14ac:dyDescent="0.45">
      <c r="A650" s="11" t="s">
        <v>1111</v>
      </c>
      <c r="B650" s="36">
        <v>2</v>
      </c>
      <c r="D650" s="7" t="s">
        <v>1112</v>
      </c>
      <c r="G650" s="6" t="s">
        <v>1113</v>
      </c>
      <c r="L650" s="13">
        <v>46202</v>
      </c>
      <c r="M650" s="15" t="s">
        <v>866</v>
      </c>
    </row>
    <row r="651" spans="1:13" ht="13.5" customHeight="1" x14ac:dyDescent="0.45">
      <c r="A651" s="11" t="s">
        <v>1114</v>
      </c>
      <c r="B651" s="36">
        <v>6</v>
      </c>
      <c r="C651" s="11" t="s">
        <v>1115</v>
      </c>
      <c r="E651" s="38" t="s">
        <v>1116</v>
      </c>
      <c r="G651" s="6" t="s">
        <v>1117</v>
      </c>
      <c r="L651" s="13">
        <v>46203</v>
      </c>
      <c r="M651" s="15" t="s">
        <v>866</v>
      </c>
    </row>
    <row r="652" spans="1:13" ht="13.5" customHeight="1" x14ac:dyDescent="0.45">
      <c r="A652" s="11" t="s">
        <v>1118</v>
      </c>
      <c r="B652" s="36">
        <v>5</v>
      </c>
      <c r="C652" s="11" t="s">
        <v>1119</v>
      </c>
      <c r="E652" s="37" t="s">
        <v>1120</v>
      </c>
      <c r="G652" s="6" t="s">
        <v>1121</v>
      </c>
      <c r="L652" s="13">
        <v>46203</v>
      </c>
      <c r="M652" s="15" t="s">
        <v>866</v>
      </c>
    </row>
    <row r="653" spans="1:13" ht="13.5" customHeight="1" x14ac:dyDescent="0.45">
      <c r="A653" s="11" t="s">
        <v>1122</v>
      </c>
      <c r="B653" s="36">
        <v>2</v>
      </c>
      <c r="C653" s="11" t="s">
        <v>1123</v>
      </c>
      <c r="E653" s="37" t="s">
        <v>1124</v>
      </c>
      <c r="G653" s="6" t="s">
        <v>1125</v>
      </c>
      <c r="L653" s="13">
        <v>46203</v>
      </c>
      <c r="M653" s="15" t="s">
        <v>866</v>
      </c>
    </row>
    <row r="654" spans="1:13" ht="13.5" customHeight="1" x14ac:dyDescent="0.45">
      <c r="A654" s="11" t="s">
        <v>1126</v>
      </c>
      <c r="B654" s="36">
        <v>3</v>
      </c>
      <c r="C654" s="11" t="s">
        <v>1127</v>
      </c>
      <c r="E654" s="37" t="s">
        <v>1128</v>
      </c>
      <c r="G654" s="6" t="s">
        <v>1129</v>
      </c>
      <c r="M654" s="15" t="s">
        <v>866</v>
      </c>
    </row>
    <row r="655" spans="1:13" ht="13.5" customHeight="1" x14ac:dyDescent="0.45">
      <c r="A655" s="11" t="s">
        <v>1130</v>
      </c>
      <c r="B655" s="36">
        <v>5</v>
      </c>
      <c r="C655" s="11" t="s">
        <v>1131</v>
      </c>
      <c r="E655" s="37" t="s">
        <v>1132</v>
      </c>
      <c r="G655" s="6" t="s">
        <v>1133</v>
      </c>
      <c r="M655" s="15" t="s">
        <v>866</v>
      </c>
    </row>
    <row r="656" spans="1:13" ht="13.5" customHeight="1" x14ac:dyDescent="0.45">
      <c r="A656" s="11" t="s">
        <v>1134</v>
      </c>
      <c r="B656" s="36">
        <v>6</v>
      </c>
      <c r="C656" s="11" t="s">
        <v>1135</v>
      </c>
      <c r="E656" s="37" t="s">
        <v>1136</v>
      </c>
      <c r="G656" s="6" t="s">
        <v>1137</v>
      </c>
      <c r="M656" s="15" t="s">
        <v>866</v>
      </c>
    </row>
    <row r="657" spans="1:13" ht="13.5" customHeight="1" x14ac:dyDescent="0.45">
      <c r="A657" s="11" t="s">
        <v>1138</v>
      </c>
      <c r="B657" s="36">
        <v>8</v>
      </c>
      <c r="D657" s="7" t="s">
        <v>1139</v>
      </c>
      <c r="E657" s="37" t="s">
        <v>1140</v>
      </c>
      <c r="F657" s="5" t="s">
        <v>1141</v>
      </c>
      <c r="G657" s="6" t="s">
        <v>1142</v>
      </c>
      <c r="M657" s="15" t="s">
        <v>866</v>
      </c>
    </row>
    <row r="658" spans="1:13" ht="13.5" customHeight="1" x14ac:dyDescent="0.45">
      <c r="A658" s="11" t="s">
        <v>1143</v>
      </c>
      <c r="B658" s="36">
        <v>4</v>
      </c>
      <c r="C658" s="11" t="s">
        <v>1144</v>
      </c>
      <c r="D658" s="7" t="s">
        <v>1145</v>
      </c>
      <c r="G658" s="6" t="s">
        <v>1146</v>
      </c>
      <c r="L658" s="13">
        <v>46203</v>
      </c>
      <c r="M658" s="15" t="s">
        <v>32</v>
      </c>
    </row>
    <row r="659" spans="1:13" ht="13.5" customHeight="1" x14ac:dyDescent="0.45">
      <c r="A659" s="11" t="s">
        <v>1147</v>
      </c>
      <c r="B659" s="36">
        <v>1</v>
      </c>
    </row>
    <row r="660" spans="1:13" ht="13.5" customHeight="1" x14ac:dyDescent="0.45">
      <c r="A660" s="11" t="s">
        <v>1148</v>
      </c>
      <c r="B660" s="36">
        <v>3</v>
      </c>
      <c r="L660" s="13">
        <v>46205</v>
      </c>
      <c r="M660" s="15" t="s">
        <v>866</v>
      </c>
    </row>
    <row r="661" spans="1:13" ht="13.5" customHeight="1" x14ac:dyDescent="0.45">
      <c r="A661" s="11" t="s">
        <v>1149</v>
      </c>
      <c r="B661" s="36">
        <v>1</v>
      </c>
      <c r="C661" s="11" t="s">
        <v>1150</v>
      </c>
      <c r="E661" s="42" t="s">
        <v>1151</v>
      </c>
      <c r="L661" s="13">
        <v>46205</v>
      </c>
      <c r="M661" s="15" t="s">
        <v>866</v>
      </c>
    </row>
    <row r="662" spans="1:13" ht="13.5" customHeight="1" x14ac:dyDescent="0.45">
      <c r="A662" s="11" t="s">
        <v>1152</v>
      </c>
      <c r="B662" s="36">
        <v>3</v>
      </c>
      <c r="C662" s="11" t="s">
        <v>1153</v>
      </c>
      <c r="G662" s="6" t="s">
        <v>1154</v>
      </c>
      <c r="L662" s="13">
        <v>46205</v>
      </c>
      <c r="M662" s="15" t="s">
        <v>866</v>
      </c>
    </row>
    <row r="663" spans="1:13" ht="13.5" customHeight="1" x14ac:dyDescent="0.45">
      <c r="A663" s="11" t="s">
        <v>1155</v>
      </c>
      <c r="B663" s="36">
        <v>15</v>
      </c>
      <c r="C663" s="11" t="s">
        <v>1156</v>
      </c>
      <c r="E663" s="38" t="s">
        <v>1157</v>
      </c>
      <c r="G663" s="6" t="s">
        <v>1158</v>
      </c>
      <c r="L663" s="13">
        <v>46206</v>
      </c>
      <c r="M663" s="15" t="s">
        <v>866</v>
      </c>
    </row>
    <row r="664" spans="1:13" ht="13.5" customHeight="1" x14ac:dyDescent="0.45">
      <c r="A664" s="11" t="s">
        <v>1159</v>
      </c>
      <c r="B664" s="36">
        <v>2</v>
      </c>
      <c r="C664" s="11" t="s">
        <v>1160</v>
      </c>
      <c r="E664" s="37" t="s">
        <v>1161</v>
      </c>
      <c r="G664" s="6" t="s">
        <v>1162</v>
      </c>
      <c r="L664" s="13">
        <v>46210</v>
      </c>
      <c r="M664" s="15" t="s">
        <v>866</v>
      </c>
    </row>
    <row r="665" spans="1:13" ht="13.5" customHeight="1" x14ac:dyDescent="0.45">
      <c r="A665" s="11" t="s">
        <v>1163</v>
      </c>
      <c r="B665" s="36">
        <v>3</v>
      </c>
      <c r="C665" s="11" t="s">
        <v>1164</v>
      </c>
      <c r="G665" s="6" t="s">
        <v>1165</v>
      </c>
      <c r="L665" s="13">
        <v>46210</v>
      </c>
      <c r="M665" s="15" t="s">
        <v>866</v>
      </c>
    </row>
    <row r="666" spans="1:13" ht="13.5" customHeight="1" x14ac:dyDescent="0.45">
      <c r="A666" s="11" t="s">
        <v>1166</v>
      </c>
      <c r="B666" s="36">
        <v>9</v>
      </c>
      <c r="C666" s="11" t="s">
        <v>1167</v>
      </c>
      <c r="D666" s="7" t="s">
        <v>1168</v>
      </c>
      <c r="F666" s="5" t="s">
        <v>1169</v>
      </c>
      <c r="G666" s="6" t="s">
        <v>1170</v>
      </c>
      <c r="L666" s="13">
        <v>46210</v>
      </c>
      <c r="M666" s="15" t="s">
        <v>866</v>
      </c>
    </row>
    <row r="667" spans="1:13" ht="13.5" customHeight="1" x14ac:dyDescent="0.45">
      <c r="A667" s="11" t="s">
        <v>1171</v>
      </c>
      <c r="B667" s="36">
        <v>5</v>
      </c>
      <c r="C667" s="11" t="s">
        <v>1172</v>
      </c>
      <c r="G667" s="6" t="s">
        <v>1173</v>
      </c>
      <c r="L667" s="13">
        <v>46210</v>
      </c>
      <c r="M667" s="15" t="s">
        <v>866</v>
      </c>
    </row>
    <row r="668" spans="1:13" ht="13.5" customHeight="1" x14ac:dyDescent="0.45">
      <c r="A668" s="11" t="s">
        <v>1174</v>
      </c>
      <c r="B668" s="36">
        <v>1</v>
      </c>
      <c r="D668" s="7" t="s">
        <v>1175</v>
      </c>
      <c r="F668" s="5" t="s">
        <v>1106</v>
      </c>
      <c r="G668" s="6" t="s">
        <v>1176</v>
      </c>
      <c r="L668" s="13">
        <v>46210</v>
      </c>
      <c r="M668" s="15" t="s">
        <v>866</v>
      </c>
    </row>
    <row r="669" spans="1:13" ht="13.5" customHeight="1" x14ac:dyDescent="0.45">
      <c r="A669" s="11" t="s">
        <v>1177</v>
      </c>
      <c r="B669" s="36">
        <v>9</v>
      </c>
      <c r="C669" s="11" t="s">
        <v>1178</v>
      </c>
      <c r="D669" s="7" t="s">
        <v>1179</v>
      </c>
      <c r="F669" s="5" t="s">
        <v>1180</v>
      </c>
      <c r="G669" s="6" t="s">
        <v>1181</v>
      </c>
      <c r="L669" s="13">
        <v>46210</v>
      </c>
      <c r="M669" s="15" t="s">
        <v>866</v>
      </c>
    </row>
    <row r="670" spans="1:13" ht="13.5" customHeight="1" x14ac:dyDescent="0.45">
      <c r="A670" s="11" t="s">
        <v>1182</v>
      </c>
      <c r="B670" s="36">
        <v>1</v>
      </c>
      <c r="D670" s="7" t="s">
        <v>1183</v>
      </c>
      <c r="F670" s="5" t="s">
        <v>1180</v>
      </c>
      <c r="G670" s="6" t="s">
        <v>1184</v>
      </c>
      <c r="L670" s="13">
        <v>46210</v>
      </c>
      <c r="M670" s="15" t="s">
        <v>866</v>
      </c>
    </row>
    <row r="671" spans="1:13" ht="13.5" customHeight="1" x14ac:dyDescent="0.45">
      <c r="A671" s="11" t="s">
        <v>1185</v>
      </c>
      <c r="B671" s="36">
        <v>3</v>
      </c>
      <c r="C671" s="11" t="s">
        <v>1186</v>
      </c>
      <c r="D671" s="7" t="s">
        <v>1187</v>
      </c>
      <c r="F671" s="5" t="s">
        <v>1188</v>
      </c>
      <c r="G671" s="6" t="s">
        <v>1189</v>
      </c>
      <c r="L671" s="13">
        <v>46210</v>
      </c>
      <c r="M671" s="15" t="s">
        <v>866</v>
      </c>
    </row>
    <row r="672" spans="1:13" ht="13.5" customHeight="1" x14ac:dyDescent="0.45">
      <c r="A672" s="11" t="s">
        <v>1190</v>
      </c>
      <c r="B672" s="36">
        <v>9</v>
      </c>
      <c r="C672" s="11" t="s">
        <v>1191</v>
      </c>
      <c r="D672" s="7" t="s">
        <v>1192</v>
      </c>
      <c r="F672" s="5" t="s">
        <v>1193</v>
      </c>
      <c r="G672" s="6" t="s">
        <v>1194</v>
      </c>
      <c r="L672" s="13">
        <v>46211</v>
      </c>
      <c r="M672" s="15" t="s">
        <v>866</v>
      </c>
    </row>
    <row r="673" spans="1:13" ht="13.5" customHeight="1" x14ac:dyDescent="0.45">
      <c r="A673" s="11" t="s">
        <v>1195</v>
      </c>
      <c r="B673" s="36">
        <v>8</v>
      </c>
      <c r="C673" s="11" t="s">
        <v>1196</v>
      </c>
      <c r="D673" s="7" t="s">
        <v>1197</v>
      </c>
      <c r="F673" s="5" t="s">
        <v>1141</v>
      </c>
      <c r="G673" s="6" t="s">
        <v>1198</v>
      </c>
      <c r="L673" s="13">
        <v>46211</v>
      </c>
      <c r="M673" s="15" t="s">
        <v>866</v>
      </c>
    </row>
    <row r="674" spans="1:13" ht="13.5" customHeight="1" x14ac:dyDescent="0.45">
      <c r="A674" s="11" t="s">
        <v>1199</v>
      </c>
      <c r="B674" s="36">
        <v>8</v>
      </c>
      <c r="C674" s="11" t="s">
        <v>1200</v>
      </c>
      <c r="D674" s="7" t="s">
        <v>1201</v>
      </c>
      <c r="F674" s="5" t="s">
        <v>1141</v>
      </c>
      <c r="L674" s="13">
        <v>46211</v>
      </c>
      <c r="M674" s="15" t="s">
        <v>866</v>
      </c>
    </row>
    <row r="675" spans="1:13" ht="13.5" customHeight="1" x14ac:dyDescent="0.45">
      <c r="A675" s="11" t="s">
        <v>1202</v>
      </c>
      <c r="B675" s="36">
        <v>1</v>
      </c>
      <c r="C675" s="11" t="s">
        <v>1203</v>
      </c>
      <c r="D675" s="7" t="s">
        <v>1204</v>
      </c>
      <c r="F675" s="5" t="s">
        <v>1106</v>
      </c>
      <c r="G675" s="6" t="s">
        <v>1205</v>
      </c>
    </row>
    <row r="676" spans="1:13" ht="13.5" customHeight="1" x14ac:dyDescent="0.45">
      <c r="A676" s="11" t="s">
        <v>1206</v>
      </c>
      <c r="B676" s="36">
        <v>4</v>
      </c>
      <c r="C676" s="11" t="s">
        <v>1207</v>
      </c>
      <c r="D676" s="7" t="s">
        <v>1208</v>
      </c>
      <c r="F676" s="5" t="s">
        <v>1013</v>
      </c>
      <c r="G676" s="6" t="s">
        <v>1209</v>
      </c>
    </row>
    <row r="677" spans="1:13" ht="13.5" customHeight="1" x14ac:dyDescent="0.45">
      <c r="A677" s="11" t="s">
        <v>1210</v>
      </c>
      <c r="B677" s="36">
        <v>6</v>
      </c>
      <c r="C677" s="11" t="s">
        <v>1211</v>
      </c>
      <c r="D677" s="7" t="s">
        <v>1212</v>
      </c>
      <c r="F677" s="5" t="s">
        <v>1213</v>
      </c>
      <c r="G677" s="6" t="s">
        <v>1214</v>
      </c>
    </row>
    <row r="678" spans="1:13" ht="13.5" customHeight="1" x14ac:dyDescent="0.45">
      <c r="A678" s="11" t="s">
        <v>922</v>
      </c>
      <c r="B678" s="36">
        <v>2</v>
      </c>
      <c r="C678" s="11" t="s">
        <v>1215</v>
      </c>
      <c r="D678" s="7" t="s">
        <v>1216</v>
      </c>
      <c r="F678" s="5" t="s">
        <v>1141</v>
      </c>
      <c r="G678" s="6" t="s">
        <v>1217</v>
      </c>
    </row>
    <row r="679" spans="1:13" ht="13.5" customHeight="1" x14ac:dyDescent="0.45">
      <c r="A679" s="11" t="s">
        <v>1218</v>
      </c>
      <c r="B679" s="36">
        <v>5</v>
      </c>
      <c r="C679" s="11" t="s">
        <v>1219</v>
      </c>
    </row>
    <row r="680" spans="1:13" ht="13.5" customHeight="1" x14ac:dyDescent="0.45">
      <c r="A680" s="11" t="s">
        <v>1220</v>
      </c>
      <c r="B680" s="36">
        <v>1</v>
      </c>
      <c r="D680" s="7" t="s">
        <v>1221</v>
      </c>
      <c r="F680" s="5" t="s">
        <v>1213</v>
      </c>
      <c r="G680" s="6">
        <v>174670182</v>
      </c>
      <c r="L680" s="13">
        <v>46211</v>
      </c>
      <c r="M680" s="15" t="s">
        <v>32</v>
      </c>
    </row>
    <row r="681" spans="1:13" ht="13.5" customHeight="1" x14ac:dyDescent="0.45">
      <c r="A681" s="11" t="s">
        <v>1222</v>
      </c>
      <c r="B681" s="36">
        <v>4</v>
      </c>
      <c r="D681" s="7" t="s">
        <v>1223</v>
      </c>
      <c r="F681" s="5" t="s">
        <v>1224</v>
      </c>
      <c r="G681" s="6" t="s">
        <v>1225</v>
      </c>
      <c r="L681" s="13">
        <v>46211</v>
      </c>
      <c r="M681" s="15" t="s">
        <v>32</v>
      </c>
    </row>
    <row r="682" spans="1:13" ht="13.5" customHeight="1" x14ac:dyDescent="0.45">
      <c r="A682" s="11" t="s">
        <v>1226</v>
      </c>
      <c r="B682" s="36">
        <v>4</v>
      </c>
      <c r="D682" s="7" t="s">
        <v>1223</v>
      </c>
      <c r="F682" s="5" t="s">
        <v>1224</v>
      </c>
      <c r="G682" s="6" t="s">
        <v>1225</v>
      </c>
      <c r="L682" s="13">
        <v>46211</v>
      </c>
      <c r="M682" s="15" t="s">
        <v>32</v>
      </c>
    </row>
    <row r="683" spans="1:13" ht="13.5" customHeight="1" x14ac:dyDescent="0.45">
      <c r="A683" s="11" t="s">
        <v>1227</v>
      </c>
      <c r="B683" s="36">
        <v>1</v>
      </c>
      <c r="D683" s="7" t="s">
        <v>1228</v>
      </c>
      <c r="F683" s="5" t="s">
        <v>1106</v>
      </c>
      <c r="G683" s="6" t="s">
        <v>1229</v>
      </c>
      <c r="L683" s="13">
        <v>46211</v>
      </c>
      <c r="M683" s="15" t="s">
        <v>32</v>
      </c>
    </row>
    <row r="684" spans="1:13" ht="13.5" customHeight="1" x14ac:dyDescent="0.45">
      <c r="A684" s="11" t="s">
        <v>1230</v>
      </c>
      <c r="B684" s="36">
        <v>2</v>
      </c>
      <c r="D684" s="7" t="s">
        <v>1231</v>
      </c>
      <c r="F684" s="5" t="s">
        <v>1106</v>
      </c>
      <c r="G684" s="6" t="s">
        <v>1232</v>
      </c>
      <c r="L684" s="13">
        <v>46211</v>
      </c>
      <c r="M684" s="15" t="s">
        <v>32</v>
      </c>
    </row>
    <row r="685" spans="1:13" ht="13.5" customHeight="1" x14ac:dyDescent="0.45">
      <c r="A685" s="11" t="s">
        <v>1147</v>
      </c>
      <c r="B685" s="36">
        <v>1</v>
      </c>
      <c r="D685" s="7" t="s">
        <v>743</v>
      </c>
      <c r="F685" s="5" t="s">
        <v>1106</v>
      </c>
      <c r="G685" s="6" t="s">
        <v>744</v>
      </c>
      <c r="L685" s="13">
        <v>46211</v>
      </c>
      <c r="M685" s="15" t="s">
        <v>32</v>
      </c>
    </row>
    <row r="686" spans="1:13" ht="13.5" customHeight="1" x14ac:dyDescent="0.45">
      <c r="A686" s="11" t="s">
        <v>531</v>
      </c>
      <c r="B686" s="36">
        <v>4</v>
      </c>
      <c r="D686" s="7" t="s">
        <v>1233</v>
      </c>
      <c r="G686" s="6" t="s">
        <v>1234</v>
      </c>
      <c r="M686" s="15" t="s">
        <v>866</v>
      </c>
    </row>
    <row r="687" spans="1:13" ht="13.5" customHeight="1" x14ac:dyDescent="0.45">
      <c r="A687" s="11" t="s">
        <v>1235</v>
      </c>
      <c r="B687" s="36">
        <v>3</v>
      </c>
      <c r="M687" s="15" t="s">
        <v>866</v>
      </c>
    </row>
    <row r="688" spans="1:13" ht="13.5" customHeight="1" x14ac:dyDescent="0.45">
      <c r="A688" s="11" t="s">
        <v>1236</v>
      </c>
      <c r="B688" s="36">
        <v>10</v>
      </c>
      <c r="M688" s="15" t="s">
        <v>866</v>
      </c>
    </row>
    <row r="689" spans="1:13" ht="13.5" customHeight="1" x14ac:dyDescent="0.45">
      <c r="A689" s="11" t="s">
        <v>1237</v>
      </c>
      <c r="B689" s="36">
        <v>2</v>
      </c>
      <c r="M689" s="15" t="s">
        <v>866</v>
      </c>
    </row>
    <row r="690" spans="1:13" ht="13.5" customHeight="1" x14ac:dyDescent="0.45">
      <c r="A690" s="11" t="s">
        <v>1238</v>
      </c>
      <c r="B690" s="36">
        <v>13</v>
      </c>
      <c r="C690" s="11" t="s">
        <v>1239</v>
      </c>
      <c r="D690" s="7" t="s">
        <v>1240</v>
      </c>
      <c r="F690" s="5" t="s">
        <v>1241</v>
      </c>
      <c r="L690" s="13">
        <v>46218</v>
      </c>
      <c r="M690" s="15" t="s">
        <v>866</v>
      </c>
    </row>
    <row r="691" spans="1:13" ht="13.5" customHeight="1" x14ac:dyDescent="0.45">
      <c r="A691" s="11" t="s">
        <v>1242</v>
      </c>
      <c r="B691" s="36">
        <v>26</v>
      </c>
      <c r="C691" s="11" t="s">
        <v>414</v>
      </c>
      <c r="D691" s="7" t="s">
        <v>1243</v>
      </c>
      <c r="F691" s="5" t="s">
        <v>1244</v>
      </c>
      <c r="G691" s="6" t="s">
        <v>1245</v>
      </c>
      <c r="L691" s="13">
        <v>46218</v>
      </c>
      <c r="M691" s="15" t="s">
        <v>866</v>
      </c>
    </row>
    <row r="692" spans="1:13" ht="13.5" customHeight="1" x14ac:dyDescent="0.45">
      <c r="A692" s="11" t="s">
        <v>1246</v>
      </c>
      <c r="B692" s="36">
        <v>42</v>
      </c>
      <c r="C692" s="11" t="s">
        <v>1247</v>
      </c>
      <c r="D692" s="7" t="s">
        <v>1248</v>
      </c>
      <c r="F692" s="5" t="s">
        <v>1249</v>
      </c>
      <c r="G692" s="6" t="s">
        <v>1250</v>
      </c>
      <c r="L692" s="13">
        <v>46219</v>
      </c>
      <c r="M692" s="15" t="s">
        <v>866</v>
      </c>
    </row>
    <row r="693" spans="1:13" ht="13.5" customHeight="1" x14ac:dyDescent="0.45">
      <c r="A693" s="11" t="s">
        <v>1251</v>
      </c>
      <c r="B693" s="36">
        <v>3</v>
      </c>
      <c r="C693" s="11" t="s">
        <v>1252</v>
      </c>
      <c r="L693" s="13">
        <v>46220</v>
      </c>
      <c r="M693" s="15" t="s">
        <v>866</v>
      </c>
    </row>
    <row r="694" spans="1:13" ht="13.5" customHeight="1" x14ac:dyDescent="0.45">
      <c r="A694" s="11" t="s">
        <v>1253</v>
      </c>
      <c r="B694" s="36">
        <v>1</v>
      </c>
      <c r="D694" s="7" t="s">
        <v>1254</v>
      </c>
    </row>
    <row r="695" spans="1:13" ht="13.5" customHeight="1" x14ac:dyDescent="0.45">
      <c r="A695" s="11" t="s">
        <v>1255</v>
      </c>
      <c r="B695" s="36">
        <v>3</v>
      </c>
      <c r="C695" s="11" t="s">
        <v>1256</v>
      </c>
      <c r="D695" s="7" t="s">
        <v>1257</v>
      </c>
      <c r="F695" s="5" t="s">
        <v>1013</v>
      </c>
      <c r="G695" s="6" t="s">
        <v>1258</v>
      </c>
    </row>
    <row r="696" spans="1:13" ht="13.5" customHeight="1" x14ac:dyDescent="0.45">
      <c r="A696" s="11" t="s">
        <v>1259</v>
      </c>
      <c r="B696" s="36">
        <v>3</v>
      </c>
      <c r="C696" s="11" t="s">
        <v>1260</v>
      </c>
      <c r="D696" s="7" t="s">
        <v>1261</v>
      </c>
      <c r="F696" s="5" t="s">
        <v>1262</v>
      </c>
      <c r="G696" s="6" t="s">
        <v>1263</v>
      </c>
    </row>
    <row r="697" spans="1:13" ht="13.5" customHeight="1" x14ac:dyDescent="0.45">
      <c r="A697" s="11" t="s">
        <v>1264</v>
      </c>
      <c r="B697" s="36">
        <v>1</v>
      </c>
      <c r="C697" s="11" t="s">
        <v>1265</v>
      </c>
      <c r="D697" s="7" t="s">
        <v>1266</v>
      </c>
      <c r="F697" s="5" t="s">
        <v>1267</v>
      </c>
      <c r="G697" s="6" t="s">
        <v>1268</v>
      </c>
      <c r="L697" s="13">
        <v>46220</v>
      </c>
      <c r="M697" s="15" t="s">
        <v>32</v>
      </c>
    </row>
    <row r="698" spans="1:13" ht="13.5" customHeight="1" x14ac:dyDescent="0.45">
      <c r="A698" s="11" t="s">
        <v>1269</v>
      </c>
    </row>
    <row r="699" spans="1:13" ht="13.5" customHeight="1" x14ac:dyDescent="0.45">
      <c r="A699" t="s">
        <v>1270</v>
      </c>
    </row>
    <row r="700" spans="1:13" ht="13.5" customHeight="1" x14ac:dyDescent="0.45">
      <c r="A700" t="s">
        <v>1271</v>
      </c>
    </row>
    <row r="701" spans="1:13" ht="13.5" customHeight="1" x14ac:dyDescent="0.45">
      <c r="A701" t="s">
        <v>1272</v>
      </c>
    </row>
    <row r="702" spans="1:13" ht="13.5" customHeight="1" x14ac:dyDescent="0.45">
      <c r="A702" t="s">
        <v>1273</v>
      </c>
    </row>
    <row r="703" spans="1:13" ht="13.5" customHeight="1" x14ac:dyDescent="0.45">
      <c r="A703" t="s">
        <v>1274</v>
      </c>
    </row>
    <row r="704" spans="1:13" ht="13.5" customHeight="1" x14ac:dyDescent="0.45">
      <c r="A704" t="s">
        <v>1275</v>
      </c>
    </row>
    <row r="705" spans="1:7" ht="13.5" customHeight="1" x14ac:dyDescent="0.45">
      <c r="A705" t="s">
        <v>1276</v>
      </c>
    </row>
    <row r="706" spans="1:7" ht="13.5" customHeight="1" x14ac:dyDescent="0.45">
      <c r="A706" s="11" t="s">
        <v>1277</v>
      </c>
      <c r="C706" s="11" t="s">
        <v>1278</v>
      </c>
      <c r="D706" s="7" t="s">
        <v>1279</v>
      </c>
      <c r="E706" s="37" t="s">
        <v>1280</v>
      </c>
      <c r="F706" s="5" t="s">
        <v>1281</v>
      </c>
      <c r="G706" s="6" t="s">
        <v>1282</v>
      </c>
    </row>
    <row r="707" spans="1:7" ht="13.5" customHeight="1" x14ac:dyDescent="0.45">
      <c r="A707" s="11" t="s">
        <v>1283</v>
      </c>
      <c r="C707" s="11" t="s">
        <v>1284</v>
      </c>
      <c r="D707" s="7" t="s">
        <v>1285</v>
      </c>
      <c r="E707" s="37" t="s">
        <v>1286</v>
      </c>
      <c r="F707" s="5" t="s">
        <v>1287</v>
      </c>
      <c r="G707" s="6" t="s">
        <v>1288</v>
      </c>
    </row>
    <row r="708" spans="1:7" ht="13.5" customHeight="1" x14ac:dyDescent="0.45">
      <c r="A708" s="11" t="s">
        <v>1289</v>
      </c>
      <c r="C708" s="11" t="s">
        <v>1290</v>
      </c>
      <c r="D708" s="7" t="s">
        <v>1291</v>
      </c>
      <c r="E708" s="37" t="s">
        <v>1292</v>
      </c>
      <c r="F708" s="5" t="s">
        <v>1013</v>
      </c>
      <c r="G708" s="6" t="s">
        <v>1293</v>
      </c>
    </row>
    <row r="709" spans="1:7" ht="13.5" customHeight="1" x14ac:dyDescent="0.45">
      <c r="A709" s="11" t="s">
        <v>1294</v>
      </c>
      <c r="C709" s="11" t="s">
        <v>1295</v>
      </c>
      <c r="D709" s="7" t="s">
        <v>1296</v>
      </c>
      <c r="E709" s="37" t="s">
        <v>1297</v>
      </c>
      <c r="F709" s="5" t="s">
        <v>1298</v>
      </c>
      <c r="G709" s="5" t="s">
        <v>1299</v>
      </c>
    </row>
    <row r="710" spans="1:7" ht="13.5" customHeight="1" x14ac:dyDescent="0.45">
      <c r="A710" s="11" t="s">
        <v>1300</v>
      </c>
      <c r="C710" s="11" t="s">
        <v>1301</v>
      </c>
      <c r="D710" s="7" t="s">
        <v>1302</v>
      </c>
      <c r="E710" s="37" t="s">
        <v>1303</v>
      </c>
      <c r="F710" s="5" t="s">
        <v>1304</v>
      </c>
      <c r="G710" s="6" t="s">
        <v>1305</v>
      </c>
    </row>
  </sheetData>
  <hyperlinks>
    <hyperlink ref="E551" r:id="rId1" xr:uid="{3C917DDA-4741-4F3A-8860-DA3A1FBA9806}"/>
    <hyperlink ref="E524" r:id="rId2" xr:uid="{8FDB6EAE-189A-4097-9E7D-926E0E8F75DC}"/>
    <hyperlink ref="E569" r:id="rId3" xr:uid="{2B6DABC7-C806-46CB-ADB6-8DB77AEB37FA}"/>
    <hyperlink ref="E570" r:id="rId4" xr:uid="{F66FE20D-7047-4C16-BA40-AFFF09257C73}"/>
    <hyperlink ref="E571" r:id="rId5" xr:uid="{B8F8BD04-3C68-4BDF-B2D5-03B7208D45D3}"/>
    <hyperlink ref="E574" r:id="rId6" xr:uid="{28CEAA31-1F9A-467D-AA3D-1E1C8DE4BCD8}"/>
    <hyperlink ref="E508" r:id="rId7" xr:uid="{1576C213-7575-480C-AC53-FB74B3F79730}"/>
    <hyperlink ref="E578" r:id="rId8" xr:uid="{5F50DA7B-780C-4FDF-A51A-B3D7C61FD33C}"/>
    <hyperlink ref="E579" r:id="rId9" xr:uid="{42B68DB7-BA40-40C7-8FDC-4E0C4D78460F}"/>
    <hyperlink ref="E580" r:id="rId10" xr:uid="{D06FA608-5E83-4ECB-9F35-6E85D1A43CA1}"/>
    <hyperlink ref="E581" r:id="rId11" xr:uid="{B3A70950-550F-4614-B2D9-6D8E6BEAAECB}"/>
    <hyperlink ref="E584" r:id="rId12" xr:uid="{E496FD73-C621-4BE9-A145-7BD924F0EC01}"/>
    <hyperlink ref="E585" r:id="rId13" xr:uid="{D567D063-099E-41A9-9315-9D8A1E32D51D}"/>
    <hyperlink ref="E452" r:id="rId14" xr:uid="{95FA38C6-F84F-499F-8C52-E1CBCE71BC24}"/>
    <hyperlink ref="E593" r:id="rId15" xr:uid="{B1157928-B37A-4724-A815-7F63205D0225}"/>
    <hyperlink ref="E605" r:id="rId16" xr:uid="{B575B07A-DB11-48DE-AF65-56FAE1461ED1}"/>
    <hyperlink ref="E606" r:id="rId17" xr:uid="{B3AAFEAA-EE8E-49F1-B824-C1D2CA43B056}"/>
    <hyperlink ref="E607" r:id="rId18" xr:uid="{64C8BF30-F618-4DAF-B8E0-32795990077C}"/>
    <hyperlink ref="E608" r:id="rId19" xr:uid="{4BD9ED46-248D-4D98-BF81-E4BF212C1582}"/>
    <hyperlink ref="E587" r:id="rId20" xr:uid="{C7597D49-947C-48A3-9EE7-BCC198F4C5DD}"/>
    <hyperlink ref="E603" r:id="rId21" xr:uid="{E70A8548-B6A3-4631-B8E0-E123165A5D11}"/>
    <hyperlink ref="E627" r:id="rId22" xr:uid="{AA891D4A-2168-4AF4-9AAB-52418D67DB3F}"/>
    <hyperlink ref="E620" r:id="rId23" xr:uid="{8F043CA1-9B59-4219-8B7B-56AD33B0FB50}"/>
    <hyperlink ref="E616" r:id="rId24" xr:uid="{BF588412-B2F3-4BC2-9C51-B8C5977696E3}"/>
    <hyperlink ref="E619" r:id="rId25" xr:uid="{EC716E95-857E-4DD4-98A3-4333E2AEAC66}"/>
    <hyperlink ref="E604" r:id="rId26" xr:uid="{CA86CF49-1C88-4B46-9C65-498D4FBF1BE0}"/>
    <hyperlink ref="E624" r:id="rId27" xr:uid="{927C4851-41FD-457C-A5ED-878615C6EC40}"/>
    <hyperlink ref="E634" r:id="rId28" xr:uid="{8E48A6CC-77DB-4394-A9E7-991735E88BF7}"/>
    <hyperlink ref="E639" r:id="rId29" xr:uid="{E0B2E574-242F-407A-9CF4-4F98020EAE76}"/>
    <hyperlink ref="E640" r:id="rId30" xr:uid="{3A663EB6-F004-44DC-B283-B4813C4DC5D8}"/>
    <hyperlink ref="E641" r:id="rId31" xr:uid="{4097BAEA-08AA-4BF2-B553-EACA2D481B1E}"/>
    <hyperlink ref="E642" r:id="rId32" xr:uid="{D53B228E-1366-4F53-B6F7-75EC5FCFA7A9}"/>
    <hyperlink ref="E649" r:id="rId33" xr:uid="{10A0A4E2-8D5B-4E88-9C6D-C23084905DF3}"/>
    <hyperlink ref="E651" r:id="rId34" xr:uid="{58D1EF56-1E50-4133-B6FA-049E5F3ED526}"/>
    <hyperlink ref="E652" r:id="rId35" xr:uid="{345B8905-F778-43A9-8667-F88FC1F36D0A}"/>
    <hyperlink ref="E653" r:id="rId36" xr:uid="{22542E78-7F08-4B78-8067-12CB4C03572B}"/>
    <hyperlink ref="E654" r:id="rId37" xr:uid="{B66269C9-4FBE-423C-AE20-93E54C374F7F}"/>
    <hyperlink ref="E655" r:id="rId38" xr:uid="{6B978715-89E1-4314-8797-7FB677BF6BC3}"/>
    <hyperlink ref="E656" r:id="rId39" xr:uid="{73409187-953F-4B09-93CC-F796FDAF920C}"/>
    <hyperlink ref="E657" r:id="rId40" xr:uid="{BFAE00FE-9592-435C-A612-4495C019C620}"/>
    <hyperlink ref="E661" r:id="rId41" xr:uid="{DFE48173-AAAB-42CE-8FA1-433DEA7161E7}"/>
    <hyperlink ref="E663" r:id="rId42" xr:uid="{4171F369-5B27-4266-B912-0D42BF48C805}"/>
    <hyperlink ref="E664" r:id="rId43" xr:uid="{DFB0DB68-85E9-4772-AD52-FF82466C04A5}"/>
    <hyperlink ref="E706" r:id="rId44" xr:uid="{3946D9C9-F412-43C8-AFB1-A681344389DD}"/>
    <hyperlink ref="E707" r:id="rId45" xr:uid="{66FDB1C7-5005-41FE-8D0C-15904057E8CC}"/>
    <hyperlink ref="E709" r:id="rId46" xr:uid="{621A47C2-038D-412C-98AA-9F82BBD034FE}"/>
    <hyperlink ref="E708" r:id="rId47" xr:uid="{84A1388C-324E-45DC-9501-92B7ECC34B8C}"/>
    <hyperlink ref="E710" r:id="rId48" xr:uid="{68FDCA23-B4C3-460F-A8EA-427469BA9BF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F211F45-7F2C-4F78-9BA9-38C516B8935D}">
          <x14:formula1>
            <xm:f>'SYS LST'!$A$1:$A$31</xm:f>
          </x14:formula1>
          <xm:sqref>I711:I1048576</xm:sqref>
        </x14:dataValidation>
        <x14:dataValidation type="list" allowBlank="1" showInputMessage="1" showErrorMessage="1" xr:uid="{29D1012E-0392-45C3-A712-4B8F3788E2D7}">
          <x14:formula1>
            <xm:f>'SYS LST'!$F$1:$F$31</xm:f>
          </x14:formula1>
          <xm:sqref>J711:J1048576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3FC68-D9B8-452F-9293-AA595535B1C1}">
  <dimension ref="A1:U177"/>
  <sheetViews>
    <sheetView tabSelected="1" zoomScale="120" zoomScaleNormal="120" workbookViewId="0">
      <selection activeCell="J18" sqref="J18"/>
    </sheetView>
  </sheetViews>
  <sheetFormatPr defaultColWidth="8.73046875" defaultRowHeight="13.15" x14ac:dyDescent="0.4"/>
  <cols>
    <col min="1" max="1" width="11.73046875" style="28" customWidth="1"/>
    <col min="2" max="3" width="12.59765625" style="29" customWidth="1"/>
    <col min="4" max="4" width="30.59765625" style="29" customWidth="1"/>
    <col min="5" max="5" width="13.796875" style="29" customWidth="1"/>
    <col min="6" max="6" width="15.59765625" style="29" customWidth="1"/>
    <col min="7" max="8" width="13.796875" style="29" customWidth="1"/>
    <col min="9" max="9" width="20.59765625" style="30" customWidth="1"/>
    <col min="10" max="10" width="55.265625" style="29" customWidth="1"/>
    <col min="11" max="12" width="11.73046875" style="28" customWidth="1"/>
    <col min="13" max="16384" width="8.73046875" style="20"/>
  </cols>
  <sheetData>
    <row r="1" spans="1:12" s="19" customFormat="1" ht="26.25" x14ac:dyDescent="0.45">
      <c r="A1" s="25" t="s">
        <v>1479</v>
      </c>
      <c r="B1" s="26" t="s">
        <v>1477</v>
      </c>
      <c r="C1" s="26" t="s">
        <v>2</v>
      </c>
      <c r="D1" s="26" t="s">
        <v>0</v>
      </c>
      <c r="E1" s="26" t="s">
        <v>1478</v>
      </c>
      <c r="F1" s="26" t="s">
        <v>1306</v>
      </c>
      <c r="G1" s="26" t="s">
        <v>1480</v>
      </c>
      <c r="H1" s="26" t="s">
        <v>3</v>
      </c>
      <c r="I1" s="27" t="s">
        <v>1481</v>
      </c>
      <c r="J1" s="26" t="s">
        <v>1307</v>
      </c>
      <c r="K1" s="25" t="s">
        <v>1482</v>
      </c>
      <c r="L1" s="25" t="s">
        <v>1492</v>
      </c>
    </row>
    <row r="2" spans="1:12" x14ac:dyDescent="0.4">
      <c r="A2" s="28">
        <v>46125</v>
      </c>
      <c r="B2" s="29" t="s">
        <v>32</v>
      </c>
      <c r="D2" s="29" t="s">
        <v>30</v>
      </c>
      <c r="F2" s="29" t="s">
        <v>1483</v>
      </c>
      <c r="I2" s="30" t="s">
        <v>1308</v>
      </c>
      <c r="J2" s="29" t="s">
        <v>1310</v>
      </c>
      <c r="K2" s="28">
        <v>46223</v>
      </c>
    </row>
    <row r="3" spans="1:12" x14ac:dyDescent="0.4">
      <c r="A3" s="28">
        <v>46125</v>
      </c>
      <c r="B3" s="29" t="s">
        <v>32</v>
      </c>
      <c r="D3" s="29" t="s">
        <v>114</v>
      </c>
      <c r="F3" s="29" t="s">
        <v>1484</v>
      </c>
      <c r="I3" s="30" t="s">
        <v>1311</v>
      </c>
      <c r="K3" s="28">
        <v>46195</v>
      </c>
    </row>
    <row r="4" spans="1:12" x14ac:dyDescent="0.4">
      <c r="A4" s="28">
        <v>46125</v>
      </c>
      <c r="B4" s="29" t="s">
        <v>32</v>
      </c>
      <c r="D4" s="29" t="s">
        <v>103</v>
      </c>
      <c r="F4" s="29" t="s">
        <v>1484</v>
      </c>
      <c r="I4" s="30" t="s">
        <v>1313</v>
      </c>
      <c r="K4" s="28">
        <v>46195</v>
      </c>
    </row>
    <row r="5" spans="1:12" x14ac:dyDescent="0.4">
      <c r="A5" s="28">
        <v>46125</v>
      </c>
      <c r="B5" s="29" t="s">
        <v>32</v>
      </c>
      <c r="D5" s="29" t="s">
        <v>850</v>
      </c>
      <c r="F5" s="29" t="s">
        <v>1485</v>
      </c>
      <c r="I5" s="30" t="s">
        <v>1313</v>
      </c>
      <c r="J5" s="29" t="s">
        <v>1315</v>
      </c>
      <c r="K5" s="28">
        <v>46223</v>
      </c>
    </row>
    <row r="6" spans="1:12" x14ac:dyDescent="0.4">
      <c r="A6" s="28">
        <v>46125</v>
      </c>
      <c r="B6" s="29" t="s">
        <v>32</v>
      </c>
      <c r="D6" s="29" t="s">
        <v>852</v>
      </c>
      <c r="F6" s="29" t="s">
        <v>1486</v>
      </c>
      <c r="I6" s="30" t="s">
        <v>1313</v>
      </c>
      <c r="J6" s="29" t="s">
        <v>1317</v>
      </c>
      <c r="K6" s="28">
        <v>46223</v>
      </c>
    </row>
    <row r="7" spans="1:12" ht="39.4" x14ac:dyDescent="0.4">
      <c r="A7" s="28">
        <v>46125</v>
      </c>
      <c r="B7" s="29" t="s">
        <v>32</v>
      </c>
      <c r="D7" s="29" t="s">
        <v>854</v>
      </c>
      <c r="F7" s="29" t="s">
        <v>1487</v>
      </c>
      <c r="I7" s="30" t="s">
        <v>1313</v>
      </c>
      <c r="J7" s="39" t="s">
        <v>1319</v>
      </c>
      <c r="K7" s="28">
        <v>46223</v>
      </c>
    </row>
    <row r="8" spans="1:12" x14ac:dyDescent="0.4">
      <c r="A8" s="28">
        <v>46125</v>
      </c>
      <c r="B8" s="29" t="s">
        <v>32</v>
      </c>
      <c r="D8" s="29" t="s">
        <v>848</v>
      </c>
      <c r="F8" s="29" t="s">
        <v>1488</v>
      </c>
      <c r="I8" s="30" t="s">
        <v>1313</v>
      </c>
      <c r="J8" s="29" t="s">
        <v>1321</v>
      </c>
      <c r="K8" s="28">
        <v>46223</v>
      </c>
    </row>
    <row r="9" spans="1:12" x14ac:dyDescent="0.4">
      <c r="A9" s="28">
        <v>46125</v>
      </c>
      <c r="B9" s="29" t="s">
        <v>32</v>
      </c>
      <c r="D9" s="29" t="s">
        <v>340</v>
      </c>
      <c r="F9" s="29" t="s">
        <v>1484</v>
      </c>
      <c r="I9" s="30" t="s">
        <v>1313</v>
      </c>
      <c r="K9" s="28">
        <v>46195</v>
      </c>
    </row>
    <row r="10" spans="1:12" x14ac:dyDescent="0.4">
      <c r="A10" s="28">
        <v>46125</v>
      </c>
      <c r="B10" s="29" t="s">
        <v>32</v>
      </c>
      <c r="D10" s="29" t="s">
        <v>152</v>
      </c>
      <c r="F10" s="29" t="s">
        <v>1486</v>
      </c>
      <c r="I10" s="30" t="s">
        <v>1313</v>
      </c>
      <c r="J10" s="29" t="s">
        <v>1322</v>
      </c>
      <c r="K10" s="28">
        <v>46223</v>
      </c>
    </row>
    <row r="11" spans="1:12" x14ac:dyDescent="0.4">
      <c r="A11" s="28">
        <v>46125</v>
      </c>
      <c r="B11" s="29" t="s">
        <v>32</v>
      </c>
      <c r="D11" s="29" t="s">
        <v>107</v>
      </c>
      <c r="F11" s="29" t="s">
        <v>1488</v>
      </c>
      <c r="I11" s="30" t="s">
        <v>1313</v>
      </c>
      <c r="J11" s="29" t="s">
        <v>1323</v>
      </c>
      <c r="K11" s="28">
        <v>46223</v>
      </c>
    </row>
    <row r="12" spans="1:12" x14ac:dyDescent="0.4">
      <c r="A12" s="28">
        <v>46125</v>
      </c>
      <c r="B12" s="29" t="s">
        <v>32</v>
      </c>
      <c r="D12" s="29" t="s">
        <v>196</v>
      </c>
      <c r="F12" s="29" t="s">
        <v>1486</v>
      </c>
      <c r="I12" s="30" t="s">
        <v>1308</v>
      </c>
      <c r="J12" s="29" t="s">
        <v>1324</v>
      </c>
      <c r="K12" s="28">
        <v>46223</v>
      </c>
    </row>
    <row r="13" spans="1:12" x14ac:dyDescent="0.4">
      <c r="A13" s="28">
        <v>46125</v>
      </c>
      <c r="B13" s="29" t="s">
        <v>32</v>
      </c>
      <c r="D13" s="29" t="s">
        <v>131</v>
      </c>
      <c r="F13" s="29" t="s">
        <v>1489</v>
      </c>
      <c r="I13" s="30" t="s">
        <v>1325</v>
      </c>
      <c r="J13" s="29" t="s">
        <v>1327</v>
      </c>
      <c r="K13" s="28">
        <v>46223</v>
      </c>
    </row>
    <row r="14" spans="1:12" x14ac:dyDescent="0.4">
      <c r="A14" s="28">
        <v>46125</v>
      </c>
      <c r="B14" s="29" t="s">
        <v>32</v>
      </c>
      <c r="D14" s="29" t="s">
        <v>342</v>
      </c>
      <c r="F14" s="29" t="s">
        <v>1484</v>
      </c>
      <c r="I14" s="30" t="s">
        <v>1313</v>
      </c>
      <c r="K14" s="28">
        <v>46195</v>
      </c>
    </row>
    <row r="15" spans="1:12" x14ac:dyDescent="0.4">
      <c r="A15" s="28">
        <v>46125</v>
      </c>
      <c r="B15" s="29" t="s">
        <v>32</v>
      </c>
      <c r="D15" s="29" t="s">
        <v>224</v>
      </c>
      <c r="F15" s="29" t="s">
        <v>1484</v>
      </c>
      <c r="I15" s="30" t="s">
        <v>1313</v>
      </c>
      <c r="K15" s="28">
        <v>46195</v>
      </c>
    </row>
    <row r="16" spans="1:12" x14ac:dyDescent="0.4">
      <c r="A16" s="28">
        <v>46006</v>
      </c>
      <c r="B16" s="29" t="s">
        <v>863</v>
      </c>
      <c r="D16" s="29" t="s">
        <v>856</v>
      </c>
      <c r="F16" s="29" t="s">
        <v>1490</v>
      </c>
      <c r="I16" s="30" t="s">
        <v>1328</v>
      </c>
      <c r="J16" s="29" t="s">
        <v>1330</v>
      </c>
      <c r="K16" s="28">
        <v>46135</v>
      </c>
    </row>
    <row r="17" spans="1:11" x14ac:dyDescent="0.4">
      <c r="A17" s="28">
        <v>46146</v>
      </c>
      <c r="B17" s="29" t="s">
        <v>866</v>
      </c>
      <c r="D17" s="29" t="s">
        <v>348</v>
      </c>
      <c r="F17" s="29" t="s">
        <v>1484</v>
      </c>
      <c r="I17" s="30" t="s">
        <v>1331</v>
      </c>
      <c r="J17" s="29" t="s">
        <v>1332</v>
      </c>
    </row>
    <row r="18" spans="1:11" x14ac:dyDescent="0.4">
      <c r="A18" s="28">
        <v>46146</v>
      </c>
      <c r="B18" s="29" t="s">
        <v>866</v>
      </c>
      <c r="D18" s="29" t="s">
        <v>869</v>
      </c>
      <c r="F18" s="29" t="s">
        <v>1484</v>
      </c>
      <c r="I18" s="30" t="s">
        <v>1333</v>
      </c>
    </row>
    <row r="19" spans="1:11" x14ac:dyDescent="0.4">
      <c r="A19" s="28">
        <v>46146</v>
      </c>
      <c r="B19" s="29" t="s">
        <v>866</v>
      </c>
      <c r="D19" s="29" t="s">
        <v>873</v>
      </c>
      <c r="F19" s="29" t="s">
        <v>1491</v>
      </c>
      <c r="I19" s="30" t="s">
        <v>1333</v>
      </c>
    </row>
    <row r="20" spans="1:11" x14ac:dyDescent="0.4">
      <c r="A20" s="28">
        <v>46146</v>
      </c>
      <c r="B20" s="29" t="s">
        <v>866</v>
      </c>
      <c r="D20" s="29" t="s">
        <v>876</v>
      </c>
      <c r="F20" s="29" t="s">
        <v>1491</v>
      </c>
      <c r="I20" s="30" t="s">
        <v>1335</v>
      </c>
    </row>
    <row r="21" spans="1:11" x14ac:dyDescent="0.4">
      <c r="A21" s="28">
        <v>46146</v>
      </c>
      <c r="B21" s="29" t="s">
        <v>866</v>
      </c>
      <c r="D21" s="29" t="s">
        <v>879</v>
      </c>
      <c r="F21" s="29" t="s">
        <v>1491</v>
      </c>
      <c r="I21" s="30" t="s">
        <v>1335</v>
      </c>
    </row>
    <row r="22" spans="1:11" x14ac:dyDescent="0.4">
      <c r="A22" s="28">
        <v>46146</v>
      </c>
      <c r="B22" s="29" t="s">
        <v>866</v>
      </c>
      <c r="D22" s="29" t="s">
        <v>877</v>
      </c>
      <c r="F22" s="29" t="s">
        <v>1491</v>
      </c>
      <c r="I22" s="30" t="s">
        <v>1335</v>
      </c>
    </row>
    <row r="23" spans="1:11" x14ac:dyDescent="0.4">
      <c r="A23" s="28">
        <v>46146</v>
      </c>
      <c r="B23" s="29" t="s">
        <v>866</v>
      </c>
      <c r="D23" s="29" t="s">
        <v>883</v>
      </c>
      <c r="F23" s="29" t="s">
        <v>1491</v>
      </c>
      <c r="I23" s="30" t="s">
        <v>1333</v>
      </c>
    </row>
    <row r="24" spans="1:11" x14ac:dyDescent="0.4">
      <c r="A24" s="28">
        <v>46146</v>
      </c>
      <c r="B24" s="29" t="s">
        <v>866</v>
      </c>
      <c r="D24" s="29" t="s">
        <v>880</v>
      </c>
      <c r="F24" s="29" t="s">
        <v>1491</v>
      </c>
      <c r="I24" s="30" t="s">
        <v>1335</v>
      </c>
    </row>
    <row r="25" spans="1:11" x14ac:dyDescent="0.4">
      <c r="A25" s="28">
        <v>46146</v>
      </c>
      <c r="B25" s="29" t="s">
        <v>866</v>
      </c>
      <c r="D25" s="29" t="s">
        <v>882</v>
      </c>
      <c r="F25" s="29" t="s">
        <v>1491</v>
      </c>
      <c r="I25" s="30" t="s">
        <v>1333</v>
      </c>
    </row>
    <row r="26" spans="1:11" x14ac:dyDescent="0.4">
      <c r="A26" s="28">
        <v>46146</v>
      </c>
      <c r="B26" s="29" t="s">
        <v>866</v>
      </c>
      <c r="D26" s="29" t="s">
        <v>878</v>
      </c>
      <c r="F26" s="29" t="s">
        <v>1491</v>
      </c>
      <c r="I26" s="30" t="s">
        <v>1335</v>
      </c>
      <c r="J26" s="29" t="s">
        <v>1336</v>
      </c>
      <c r="K26" s="28">
        <v>46176</v>
      </c>
    </row>
    <row r="27" spans="1:11" x14ac:dyDescent="0.4">
      <c r="A27" s="28">
        <v>46146</v>
      </c>
      <c r="B27" s="29" t="s">
        <v>866</v>
      </c>
      <c r="D27" s="29" t="s">
        <v>881</v>
      </c>
      <c r="F27" s="29" t="s">
        <v>1491</v>
      </c>
      <c r="I27" s="30" t="s">
        <v>1335</v>
      </c>
    </row>
    <row r="28" spans="1:11" x14ac:dyDescent="0.4">
      <c r="A28" s="28">
        <v>46146</v>
      </c>
      <c r="B28" s="29" t="s">
        <v>866</v>
      </c>
      <c r="D28" s="29" t="s">
        <v>874</v>
      </c>
      <c r="F28" s="29" t="s">
        <v>1491</v>
      </c>
      <c r="I28" s="30" t="s">
        <v>1333</v>
      </c>
    </row>
    <row r="29" spans="1:11" x14ac:dyDescent="0.4">
      <c r="A29" s="28">
        <v>46146</v>
      </c>
      <c r="B29" s="29" t="s">
        <v>866</v>
      </c>
      <c r="D29" s="29" t="s">
        <v>871</v>
      </c>
      <c r="F29" s="29" t="s">
        <v>1484</v>
      </c>
      <c r="I29" s="30" t="s">
        <v>1331</v>
      </c>
      <c r="J29" s="29" t="s">
        <v>1337</v>
      </c>
    </row>
    <row r="30" spans="1:11" x14ac:dyDescent="0.4">
      <c r="A30" s="28">
        <v>46146</v>
      </c>
      <c r="B30" s="29" t="s">
        <v>32</v>
      </c>
      <c r="C30" s="47"/>
      <c r="D30" s="11" t="s">
        <v>886</v>
      </c>
      <c r="E30" s="48"/>
      <c r="F30" s="29" t="s">
        <v>1487</v>
      </c>
      <c r="G30" s="48"/>
      <c r="H30" s="48"/>
      <c r="I30" s="30" t="s">
        <v>1308</v>
      </c>
      <c r="J30" s="29" t="s">
        <v>1338</v>
      </c>
      <c r="K30" s="28">
        <v>46223</v>
      </c>
    </row>
    <row r="31" spans="1:11" x14ac:dyDescent="0.4">
      <c r="A31" s="28">
        <v>46146</v>
      </c>
      <c r="B31" s="29" t="s">
        <v>32</v>
      </c>
      <c r="C31" s="47"/>
      <c r="D31" s="11" t="s">
        <v>892</v>
      </c>
      <c r="E31" s="48"/>
      <c r="F31" s="29" t="s">
        <v>1487</v>
      </c>
      <c r="G31" s="48"/>
      <c r="H31" s="48"/>
      <c r="I31" s="30" t="s">
        <v>1308</v>
      </c>
      <c r="J31" s="29" t="s">
        <v>1339</v>
      </c>
      <c r="K31" s="28">
        <v>46223</v>
      </c>
    </row>
    <row r="32" spans="1:11" x14ac:dyDescent="0.4">
      <c r="A32" s="28">
        <v>46146</v>
      </c>
      <c r="B32" s="29" t="s">
        <v>32</v>
      </c>
      <c r="C32" s="47"/>
      <c r="D32" s="11" t="s">
        <v>893</v>
      </c>
      <c r="E32" s="48"/>
      <c r="F32" s="29" t="s">
        <v>1487</v>
      </c>
      <c r="G32" s="48"/>
      <c r="H32" s="48"/>
      <c r="I32" s="30" t="s">
        <v>1308</v>
      </c>
      <c r="J32" s="29" t="s">
        <v>1339</v>
      </c>
      <c r="K32" s="28">
        <v>46223</v>
      </c>
    </row>
    <row r="33" spans="1:11" x14ac:dyDescent="0.4">
      <c r="A33" s="28">
        <v>46146</v>
      </c>
      <c r="B33" s="29" t="s">
        <v>32</v>
      </c>
      <c r="C33" s="47"/>
      <c r="D33" s="11" t="s">
        <v>894</v>
      </c>
      <c r="E33" s="48"/>
      <c r="F33" s="29" t="s">
        <v>1490</v>
      </c>
      <c r="G33" s="48"/>
      <c r="H33" s="48"/>
      <c r="I33" s="30" t="s">
        <v>1308</v>
      </c>
      <c r="J33" s="29" t="s">
        <v>1340</v>
      </c>
      <c r="K33" s="28">
        <v>46223</v>
      </c>
    </row>
    <row r="34" spans="1:11" x14ac:dyDescent="0.4">
      <c r="A34" s="28">
        <v>46146</v>
      </c>
      <c r="B34" s="29" t="s">
        <v>32</v>
      </c>
      <c r="C34" s="47"/>
      <c r="D34" s="11" t="s">
        <v>897</v>
      </c>
      <c r="E34" s="48"/>
      <c r="F34" s="29" t="s">
        <v>1490</v>
      </c>
      <c r="G34" s="48"/>
      <c r="H34" s="48"/>
      <c r="I34" s="30" t="s">
        <v>1308</v>
      </c>
      <c r="J34" s="29" t="s">
        <v>1341</v>
      </c>
      <c r="K34" s="28">
        <v>46223</v>
      </c>
    </row>
    <row r="35" spans="1:11" x14ac:dyDescent="0.4">
      <c r="A35" s="28">
        <v>46146</v>
      </c>
      <c r="B35" s="29" t="s">
        <v>32</v>
      </c>
      <c r="C35" s="47"/>
      <c r="D35" s="11" t="s">
        <v>902</v>
      </c>
      <c r="E35" s="48"/>
      <c r="F35" s="29" t="s">
        <v>1490</v>
      </c>
      <c r="G35" s="48"/>
      <c r="H35" s="48"/>
      <c r="I35" s="30" t="s">
        <v>1308</v>
      </c>
      <c r="J35" s="29" t="s">
        <v>1342</v>
      </c>
      <c r="K35" s="28">
        <v>46223</v>
      </c>
    </row>
    <row r="36" spans="1:11" x14ac:dyDescent="0.4">
      <c r="A36" s="28">
        <v>46146</v>
      </c>
      <c r="B36" s="29" t="s">
        <v>32</v>
      </c>
      <c r="C36" s="47"/>
      <c r="D36" s="11" t="s">
        <v>906</v>
      </c>
      <c r="E36" s="48"/>
      <c r="F36" s="29" t="s">
        <v>1491</v>
      </c>
      <c r="G36" s="48"/>
      <c r="H36" s="48"/>
      <c r="I36" s="30" t="s">
        <v>1308</v>
      </c>
      <c r="J36" s="29" t="s">
        <v>1343</v>
      </c>
      <c r="K36" s="28">
        <v>46223</v>
      </c>
    </row>
    <row r="37" spans="1:11" x14ac:dyDescent="0.4">
      <c r="A37" s="28">
        <v>46146</v>
      </c>
      <c r="B37" s="29" t="s">
        <v>32</v>
      </c>
      <c r="D37" s="29" t="s">
        <v>1344</v>
      </c>
      <c r="F37" s="29" t="s">
        <v>1491</v>
      </c>
      <c r="I37" s="30" t="s">
        <v>1308</v>
      </c>
      <c r="J37" s="29" t="s">
        <v>1343</v>
      </c>
      <c r="K37" s="28">
        <v>46223</v>
      </c>
    </row>
    <row r="38" spans="1:11" x14ac:dyDescent="0.4">
      <c r="A38" s="28">
        <v>46146</v>
      </c>
      <c r="B38" s="29" t="s">
        <v>32</v>
      </c>
      <c r="D38" s="29" t="s">
        <v>715</v>
      </c>
      <c r="F38" s="29" t="s">
        <v>1484</v>
      </c>
      <c r="I38" s="30" t="s">
        <v>1311</v>
      </c>
      <c r="J38" s="29" t="s">
        <v>1345</v>
      </c>
      <c r="K38" s="28">
        <v>46198</v>
      </c>
    </row>
    <row r="39" spans="1:11" x14ac:dyDescent="0.4">
      <c r="A39" s="28">
        <v>46146</v>
      </c>
      <c r="B39" s="29" t="s">
        <v>32</v>
      </c>
      <c r="D39" s="29" t="s">
        <v>812</v>
      </c>
      <c r="F39" s="29" t="s">
        <v>1490</v>
      </c>
      <c r="I39" s="30" t="s">
        <v>1308</v>
      </c>
      <c r="J39" s="29" t="s">
        <v>1346</v>
      </c>
      <c r="K39" s="28">
        <v>46223</v>
      </c>
    </row>
    <row r="40" spans="1:11" x14ac:dyDescent="0.4">
      <c r="A40" s="28">
        <v>46147</v>
      </c>
      <c r="B40" s="29" t="s">
        <v>866</v>
      </c>
      <c r="D40" s="29" t="s">
        <v>875</v>
      </c>
      <c r="F40" s="29" t="s">
        <v>1484</v>
      </c>
      <c r="I40" s="30" t="s">
        <v>1347</v>
      </c>
      <c r="J40" s="29" t="s">
        <v>1348</v>
      </c>
      <c r="K40" s="28">
        <v>46153</v>
      </c>
    </row>
    <row r="41" spans="1:11" x14ac:dyDescent="0.4">
      <c r="A41" s="28">
        <v>46153</v>
      </c>
      <c r="B41" s="29" t="s">
        <v>866</v>
      </c>
      <c r="D41" s="29" t="s">
        <v>928</v>
      </c>
      <c r="F41" s="29" t="s">
        <v>1484</v>
      </c>
      <c r="J41" s="29" t="s">
        <v>1349</v>
      </c>
    </row>
    <row r="42" spans="1:11" x14ac:dyDescent="0.4">
      <c r="A42" s="28">
        <v>46153</v>
      </c>
      <c r="B42" s="29" t="s">
        <v>866</v>
      </c>
      <c r="D42" s="29" t="s">
        <v>929</v>
      </c>
      <c r="F42" s="29" t="s">
        <v>1484</v>
      </c>
      <c r="I42" s="30" t="s">
        <v>1347</v>
      </c>
      <c r="J42" s="29" t="s">
        <v>1350</v>
      </c>
    </row>
    <row r="43" spans="1:11" x14ac:dyDescent="0.4">
      <c r="A43" s="28">
        <v>46153</v>
      </c>
      <c r="B43" s="29" t="s">
        <v>32</v>
      </c>
      <c r="D43" s="29" t="s">
        <v>693</v>
      </c>
      <c r="F43" s="29" t="s">
        <v>1490</v>
      </c>
      <c r="I43" s="30" t="s">
        <v>1308</v>
      </c>
      <c r="J43" s="29" t="s">
        <v>1351</v>
      </c>
      <c r="K43" s="28">
        <v>46223</v>
      </c>
    </row>
    <row r="44" spans="1:11" x14ac:dyDescent="0.4">
      <c r="A44" s="28">
        <v>46153</v>
      </c>
      <c r="B44" s="29" t="s">
        <v>32</v>
      </c>
      <c r="D44" s="29" t="s">
        <v>1352</v>
      </c>
      <c r="F44" s="29" t="s">
        <v>1490</v>
      </c>
      <c r="I44" s="30" t="s">
        <v>1347</v>
      </c>
      <c r="J44" s="29" t="s">
        <v>1353</v>
      </c>
      <c r="K44" s="28">
        <v>46224</v>
      </c>
    </row>
    <row r="45" spans="1:11" x14ac:dyDescent="0.4">
      <c r="A45" s="28">
        <v>46160</v>
      </c>
      <c r="B45" s="29" t="s">
        <v>866</v>
      </c>
      <c r="D45" s="29" t="s">
        <v>940</v>
      </c>
      <c r="F45" s="29" t="s">
        <v>1491</v>
      </c>
      <c r="I45" s="30" t="s">
        <v>1335</v>
      </c>
    </row>
    <row r="46" spans="1:11" x14ac:dyDescent="0.4">
      <c r="A46" s="28">
        <v>46160</v>
      </c>
      <c r="B46" s="29" t="s">
        <v>866</v>
      </c>
      <c r="D46" s="29" t="s">
        <v>943</v>
      </c>
      <c r="F46" s="29" t="s">
        <v>1484</v>
      </c>
      <c r="I46" s="30" t="s">
        <v>1333</v>
      </c>
      <c r="J46" s="29" t="s">
        <v>1354</v>
      </c>
    </row>
    <row r="47" spans="1:11" x14ac:dyDescent="0.4">
      <c r="A47" s="28">
        <v>46160</v>
      </c>
      <c r="B47" s="29" t="s">
        <v>866</v>
      </c>
      <c r="D47" s="29" t="s">
        <v>944</v>
      </c>
      <c r="F47" s="29" t="s">
        <v>1491</v>
      </c>
      <c r="I47" s="30" t="s">
        <v>1333</v>
      </c>
      <c r="J47" s="29" t="s">
        <v>1355</v>
      </c>
    </row>
    <row r="48" spans="1:11" x14ac:dyDescent="0.4">
      <c r="A48" s="28">
        <v>46160</v>
      </c>
      <c r="B48" s="29" t="s">
        <v>866</v>
      </c>
      <c r="D48" s="29" t="s">
        <v>946</v>
      </c>
      <c r="F48" s="29" t="s">
        <v>1484</v>
      </c>
      <c r="I48" s="30" t="s">
        <v>1333</v>
      </c>
      <c r="J48" s="29" t="s">
        <v>1356</v>
      </c>
    </row>
    <row r="49" spans="1:11" x14ac:dyDescent="0.4">
      <c r="A49" s="28">
        <v>46160</v>
      </c>
      <c r="B49" s="29" t="s">
        <v>32</v>
      </c>
      <c r="D49" s="29" t="s">
        <v>948</v>
      </c>
      <c r="F49" s="29" t="s">
        <v>1490</v>
      </c>
      <c r="I49" s="30" t="s">
        <v>1347</v>
      </c>
      <c r="J49" s="29" t="s">
        <v>1357</v>
      </c>
      <c r="K49" s="28">
        <v>46224</v>
      </c>
    </row>
    <row r="50" spans="1:11" x14ac:dyDescent="0.4">
      <c r="A50" s="28">
        <v>46160</v>
      </c>
      <c r="B50" s="29" t="s">
        <v>32</v>
      </c>
      <c r="D50" s="29" t="s">
        <v>951</v>
      </c>
      <c r="F50" s="29" t="s">
        <v>1490</v>
      </c>
      <c r="I50" s="30" t="s">
        <v>1308</v>
      </c>
      <c r="J50" s="29" t="s">
        <v>1358</v>
      </c>
      <c r="K50" s="28">
        <v>46224</v>
      </c>
    </row>
    <row r="51" spans="1:11" x14ac:dyDescent="0.4">
      <c r="A51" s="28">
        <v>46160</v>
      </c>
      <c r="B51" s="29" t="s">
        <v>32</v>
      </c>
      <c r="D51" s="29" t="s">
        <v>952</v>
      </c>
      <c r="F51" s="29" t="s">
        <v>1488</v>
      </c>
      <c r="I51" s="30" t="s">
        <v>1313</v>
      </c>
      <c r="J51" s="29" t="s">
        <v>1358</v>
      </c>
      <c r="K51" s="28">
        <v>46224</v>
      </c>
    </row>
    <row r="52" spans="1:11" x14ac:dyDescent="0.4">
      <c r="A52" s="28">
        <v>46160</v>
      </c>
      <c r="B52" s="29" t="s">
        <v>32</v>
      </c>
      <c r="D52" s="29" t="s">
        <v>955</v>
      </c>
      <c r="F52" s="29" t="s">
        <v>1491</v>
      </c>
      <c r="I52" s="30" t="s">
        <v>1308</v>
      </c>
      <c r="J52" s="29" t="s">
        <v>1359</v>
      </c>
      <c r="K52" s="28">
        <v>46224</v>
      </c>
    </row>
    <row r="53" spans="1:11" x14ac:dyDescent="0.4">
      <c r="A53" s="28">
        <v>46167</v>
      </c>
      <c r="B53" s="29" t="s">
        <v>866</v>
      </c>
      <c r="D53" s="29" t="s">
        <v>958</v>
      </c>
      <c r="F53" s="29" t="s">
        <v>1491</v>
      </c>
      <c r="I53" s="30" t="s">
        <v>1333</v>
      </c>
      <c r="K53" s="28">
        <v>46176</v>
      </c>
    </row>
    <row r="54" spans="1:11" x14ac:dyDescent="0.4">
      <c r="A54" s="28">
        <v>46167</v>
      </c>
      <c r="B54" s="29" t="s">
        <v>866</v>
      </c>
      <c r="D54" s="29" t="s">
        <v>961</v>
      </c>
      <c r="F54" s="29" t="s">
        <v>1491</v>
      </c>
      <c r="I54" s="30" t="s">
        <v>1333</v>
      </c>
      <c r="K54" s="28">
        <v>46176</v>
      </c>
    </row>
    <row r="55" spans="1:11" x14ac:dyDescent="0.4">
      <c r="A55" s="28">
        <v>46167</v>
      </c>
      <c r="B55" s="29" t="s">
        <v>866</v>
      </c>
      <c r="D55" s="29" t="s">
        <v>964</v>
      </c>
      <c r="F55" s="29" t="s">
        <v>1484</v>
      </c>
      <c r="I55" s="30" t="s">
        <v>1347</v>
      </c>
      <c r="J55" s="29" t="s">
        <v>1360</v>
      </c>
      <c r="K55" s="28">
        <v>46189</v>
      </c>
    </row>
    <row r="56" spans="1:11" x14ac:dyDescent="0.4">
      <c r="A56" s="28">
        <v>46167</v>
      </c>
      <c r="B56" s="29" t="s">
        <v>866</v>
      </c>
      <c r="D56" s="29" t="s">
        <v>970</v>
      </c>
      <c r="F56" s="29" t="s">
        <v>1491</v>
      </c>
      <c r="I56" s="30" t="s">
        <v>1333</v>
      </c>
      <c r="J56" s="29" t="s">
        <v>1361</v>
      </c>
      <c r="K56" s="28">
        <v>46167</v>
      </c>
    </row>
    <row r="57" spans="1:11" x14ac:dyDescent="0.4">
      <c r="A57" s="28">
        <v>46167</v>
      </c>
      <c r="B57" s="29" t="s">
        <v>32</v>
      </c>
      <c r="D57" s="29" t="s">
        <v>975</v>
      </c>
      <c r="F57" s="29" t="s">
        <v>1491</v>
      </c>
      <c r="I57" s="30" t="s">
        <v>1313</v>
      </c>
      <c r="J57" s="29" t="s">
        <v>1362</v>
      </c>
      <c r="K57" s="28">
        <v>46224</v>
      </c>
    </row>
    <row r="58" spans="1:11" x14ac:dyDescent="0.4">
      <c r="A58" s="28">
        <v>46167</v>
      </c>
      <c r="B58" s="29" t="s">
        <v>32</v>
      </c>
      <c r="D58" s="29" t="s">
        <v>981</v>
      </c>
      <c r="F58" s="29" t="s">
        <v>1484</v>
      </c>
      <c r="I58" s="30" t="s">
        <v>1313</v>
      </c>
      <c r="J58" s="29" t="s">
        <v>1363</v>
      </c>
      <c r="K58" s="28">
        <v>46198</v>
      </c>
    </row>
    <row r="59" spans="1:11" x14ac:dyDescent="0.4">
      <c r="A59" s="28">
        <v>46167</v>
      </c>
      <c r="B59" s="29" t="s">
        <v>32</v>
      </c>
      <c r="D59" s="29" t="s">
        <v>988</v>
      </c>
      <c r="F59" s="29" t="s">
        <v>1491</v>
      </c>
      <c r="I59" s="30" t="s">
        <v>1308</v>
      </c>
      <c r="J59" s="29" t="s">
        <v>1358</v>
      </c>
      <c r="K59" s="28">
        <v>46224</v>
      </c>
    </row>
    <row r="60" spans="1:11" x14ac:dyDescent="0.4">
      <c r="A60" s="28">
        <v>46167</v>
      </c>
      <c r="B60" s="29" t="s">
        <v>32</v>
      </c>
      <c r="D60" s="29" t="s">
        <v>994</v>
      </c>
      <c r="F60" s="29" t="s">
        <v>1490</v>
      </c>
      <c r="I60" s="30" t="s">
        <v>1313</v>
      </c>
      <c r="J60" s="29" t="s">
        <v>1364</v>
      </c>
      <c r="K60" s="28">
        <v>46224</v>
      </c>
    </row>
    <row r="61" spans="1:11" x14ac:dyDescent="0.4">
      <c r="A61" s="28">
        <v>46171</v>
      </c>
      <c r="B61" s="29" t="s">
        <v>32</v>
      </c>
      <c r="C61" s="47"/>
      <c r="D61" s="11" t="s">
        <v>999</v>
      </c>
      <c r="E61" s="48"/>
      <c r="F61" s="29" t="s">
        <v>1491</v>
      </c>
      <c r="G61" s="48"/>
      <c r="H61" s="48"/>
      <c r="I61" s="30" t="s">
        <v>1333</v>
      </c>
      <c r="J61" s="29" t="s">
        <v>1365</v>
      </c>
      <c r="K61" s="28">
        <v>46224</v>
      </c>
    </row>
    <row r="62" spans="1:11" x14ac:dyDescent="0.4">
      <c r="A62" s="28">
        <v>46171</v>
      </c>
      <c r="B62" s="29" t="s">
        <v>32</v>
      </c>
      <c r="C62" s="47"/>
      <c r="D62" s="11" t="s">
        <v>1001</v>
      </c>
      <c r="E62" s="48"/>
      <c r="F62" s="29" t="s">
        <v>1491</v>
      </c>
      <c r="G62" s="48"/>
      <c r="H62" s="48"/>
      <c r="I62" s="30" t="s">
        <v>1333</v>
      </c>
      <c r="J62" s="29" t="s">
        <v>1365</v>
      </c>
      <c r="K62" s="28">
        <v>46224</v>
      </c>
    </row>
    <row r="63" spans="1:11" x14ac:dyDescent="0.4">
      <c r="A63" s="28">
        <v>46171</v>
      </c>
      <c r="B63" s="29" t="s">
        <v>32</v>
      </c>
      <c r="C63" s="47"/>
      <c r="D63" s="11" t="s">
        <v>415</v>
      </c>
      <c r="E63" s="48"/>
      <c r="F63" s="29" t="s">
        <v>1484</v>
      </c>
      <c r="G63" s="48"/>
      <c r="H63" s="48"/>
      <c r="I63" s="30" t="s">
        <v>1333</v>
      </c>
      <c r="J63" s="29" t="s">
        <v>1366</v>
      </c>
      <c r="K63" s="28">
        <v>46198</v>
      </c>
    </row>
    <row r="64" spans="1:11" x14ac:dyDescent="0.4">
      <c r="A64" s="28">
        <v>46171</v>
      </c>
      <c r="B64" s="29" t="s">
        <v>32</v>
      </c>
      <c r="D64" s="29" t="s">
        <v>658</v>
      </c>
      <c r="F64" s="29" t="s">
        <v>1484</v>
      </c>
      <c r="I64" s="30" t="s">
        <v>1333</v>
      </c>
      <c r="J64" s="29" t="s">
        <v>1367</v>
      </c>
      <c r="K64" s="28">
        <v>46198</v>
      </c>
    </row>
    <row r="65" spans="1:11" x14ac:dyDescent="0.4">
      <c r="A65" s="28">
        <v>46171</v>
      </c>
      <c r="B65" s="29" t="s">
        <v>32</v>
      </c>
      <c r="D65" s="29" t="s">
        <v>1004</v>
      </c>
      <c r="F65" s="29" t="s">
        <v>1484</v>
      </c>
      <c r="I65" s="30" t="s">
        <v>1333</v>
      </c>
      <c r="J65" s="29" t="s">
        <v>1367</v>
      </c>
      <c r="K65" s="28">
        <v>46198</v>
      </c>
    </row>
    <row r="66" spans="1:11" x14ac:dyDescent="0.4">
      <c r="A66" s="28">
        <v>46171</v>
      </c>
      <c r="B66" s="29" t="s">
        <v>866</v>
      </c>
      <c r="D66" s="29" t="s">
        <v>1009</v>
      </c>
      <c r="F66" s="29" t="s">
        <v>1491</v>
      </c>
      <c r="I66" s="30" t="s">
        <v>1333</v>
      </c>
      <c r="J66" s="29" t="s">
        <v>1368</v>
      </c>
      <c r="K66" s="28">
        <v>46176</v>
      </c>
    </row>
    <row r="67" spans="1:11" x14ac:dyDescent="0.4">
      <c r="A67" s="28">
        <v>46171</v>
      </c>
      <c r="B67" s="29" t="s">
        <v>866</v>
      </c>
      <c r="D67" s="29" t="s">
        <v>1006</v>
      </c>
      <c r="F67" s="29" t="s">
        <v>1484</v>
      </c>
      <c r="I67" s="30" t="s">
        <v>1333</v>
      </c>
      <c r="J67" s="29" t="s">
        <v>1369</v>
      </c>
      <c r="K67" s="28">
        <v>46176</v>
      </c>
    </row>
    <row r="68" spans="1:11" x14ac:dyDescent="0.4">
      <c r="A68" s="28">
        <v>46171</v>
      </c>
      <c r="B68" s="29" t="s">
        <v>866</v>
      </c>
      <c r="D68" s="29" t="s">
        <v>1008</v>
      </c>
      <c r="F68" s="29" t="s">
        <v>1491</v>
      </c>
      <c r="I68" s="30" t="s">
        <v>1333</v>
      </c>
      <c r="J68" s="29" t="s">
        <v>1370</v>
      </c>
      <c r="K68" s="28">
        <v>46176</v>
      </c>
    </row>
    <row r="69" spans="1:11" x14ac:dyDescent="0.4">
      <c r="A69" s="28">
        <v>46171</v>
      </c>
      <c r="B69" s="29" t="s">
        <v>866</v>
      </c>
      <c r="D69" s="29" t="s">
        <v>26</v>
      </c>
      <c r="F69" s="29" t="s">
        <v>1484</v>
      </c>
      <c r="I69" s="30" t="s">
        <v>1313</v>
      </c>
      <c r="J69" s="29" t="s">
        <v>1371</v>
      </c>
      <c r="K69" s="28">
        <v>46176</v>
      </c>
    </row>
    <row r="70" spans="1:11" x14ac:dyDescent="0.4">
      <c r="A70" s="28">
        <v>46171</v>
      </c>
      <c r="B70" s="29" t="s">
        <v>866</v>
      </c>
      <c r="D70" s="29" t="s">
        <v>1022</v>
      </c>
      <c r="F70" s="29" t="s">
        <v>1491</v>
      </c>
      <c r="I70" s="30" t="s">
        <v>1333</v>
      </c>
      <c r="J70" s="29" t="s">
        <v>1372</v>
      </c>
      <c r="K70" s="28">
        <v>46176</v>
      </c>
    </row>
    <row r="71" spans="1:11" x14ac:dyDescent="0.4">
      <c r="A71" s="28">
        <v>46171</v>
      </c>
      <c r="B71" s="29" t="s">
        <v>866</v>
      </c>
      <c r="D71" s="29" t="s">
        <v>1028</v>
      </c>
      <c r="F71" s="29" t="s">
        <v>1491</v>
      </c>
      <c r="I71" s="30" t="s">
        <v>1333</v>
      </c>
      <c r="K71" s="28">
        <v>46176</v>
      </c>
    </row>
    <row r="72" spans="1:11" x14ac:dyDescent="0.4">
      <c r="A72" s="28">
        <v>46171</v>
      </c>
      <c r="B72" s="29" t="s">
        <v>866</v>
      </c>
      <c r="D72" s="29" t="s">
        <v>1029</v>
      </c>
      <c r="F72" s="29" t="s">
        <v>1491</v>
      </c>
      <c r="I72" s="30" t="s">
        <v>1333</v>
      </c>
      <c r="K72" s="28">
        <v>46176</v>
      </c>
    </row>
    <row r="73" spans="1:11" x14ac:dyDescent="0.4">
      <c r="A73" s="28">
        <v>46202</v>
      </c>
      <c r="B73" s="29" t="s">
        <v>866</v>
      </c>
      <c r="D73" s="29" t="s">
        <v>116</v>
      </c>
      <c r="F73" s="29" t="s">
        <v>1484</v>
      </c>
      <c r="I73" s="30" t="s">
        <v>1333</v>
      </c>
      <c r="J73" s="29" t="s">
        <v>1373</v>
      </c>
      <c r="K73" s="28">
        <v>46176</v>
      </c>
    </row>
    <row r="74" spans="1:11" x14ac:dyDescent="0.4">
      <c r="A74" s="28">
        <v>46171</v>
      </c>
      <c r="B74" s="29" t="s">
        <v>32</v>
      </c>
      <c r="D74" s="29" t="s">
        <v>1030</v>
      </c>
      <c r="F74" s="29" t="s">
        <v>1490</v>
      </c>
      <c r="I74" s="30" t="s">
        <v>1308</v>
      </c>
      <c r="J74" s="29" t="s">
        <v>1374</v>
      </c>
      <c r="K74" s="28">
        <v>46224</v>
      </c>
    </row>
    <row r="75" spans="1:11" x14ac:dyDescent="0.4">
      <c r="A75" s="28">
        <v>46177</v>
      </c>
      <c r="B75" s="29" t="s">
        <v>866</v>
      </c>
      <c r="D75" s="29" t="s">
        <v>1033</v>
      </c>
      <c r="F75" s="29" t="s">
        <v>1491</v>
      </c>
      <c r="I75" s="30" t="s">
        <v>1333</v>
      </c>
      <c r="J75" s="29" t="s">
        <v>1375</v>
      </c>
      <c r="K75" s="28">
        <v>46178</v>
      </c>
    </row>
    <row r="76" spans="1:11" x14ac:dyDescent="0.4">
      <c r="A76" s="28">
        <v>46178</v>
      </c>
      <c r="B76" s="29" t="s">
        <v>866</v>
      </c>
      <c r="D76" s="29" t="s">
        <v>692</v>
      </c>
      <c r="F76" s="29" t="s">
        <v>1491</v>
      </c>
      <c r="I76" s="30" t="s">
        <v>1335</v>
      </c>
      <c r="J76" s="29" t="s">
        <v>1376</v>
      </c>
    </row>
    <row r="77" spans="1:11" x14ac:dyDescent="0.4">
      <c r="A77" s="28">
        <v>46178</v>
      </c>
      <c r="B77" s="29" t="s">
        <v>866</v>
      </c>
      <c r="D77" s="29" t="s">
        <v>396</v>
      </c>
      <c r="F77" s="29" t="s">
        <v>1491</v>
      </c>
      <c r="I77" s="30" t="s">
        <v>1335</v>
      </c>
      <c r="J77" s="29" t="s">
        <v>1377</v>
      </c>
    </row>
    <row r="78" spans="1:11" x14ac:dyDescent="0.4">
      <c r="A78" s="28">
        <v>46181</v>
      </c>
      <c r="B78" s="29" t="s">
        <v>866</v>
      </c>
      <c r="D78" s="29" t="s">
        <v>301</v>
      </c>
      <c r="F78" s="29" t="s">
        <v>1491</v>
      </c>
      <c r="I78" s="30" t="s">
        <v>1333</v>
      </c>
      <c r="J78" s="29" t="s">
        <v>1378</v>
      </c>
    </row>
    <row r="79" spans="1:11" x14ac:dyDescent="0.4">
      <c r="A79" s="28">
        <v>46181</v>
      </c>
      <c r="B79" s="29" t="s">
        <v>866</v>
      </c>
      <c r="D79" s="29" t="s">
        <v>127</v>
      </c>
      <c r="F79" s="29" t="s">
        <v>1491</v>
      </c>
      <c r="I79" s="30" t="s">
        <v>1333</v>
      </c>
      <c r="J79" s="29" t="s">
        <v>1379</v>
      </c>
    </row>
    <row r="80" spans="1:11" x14ac:dyDescent="0.4">
      <c r="A80" s="28">
        <v>46181</v>
      </c>
      <c r="B80" s="29" t="s">
        <v>866</v>
      </c>
      <c r="D80" s="29" t="s">
        <v>387</v>
      </c>
      <c r="F80" s="29" t="s">
        <v>1491</v>
      </c>
      <c r="I80" s="30" t="s">
        <v>1333</v>
      </c>
      <c r="J80" s="29" t="s">
        <v>1379</v>
      </c>
    </row>
    <row r="81" spans="1:11" x14ac:dyDescent="0.4">
      <c r="A81" s="28">
        <v>46181</v>
      </c>
      <c r="B81" s="29" t="s">
        <v>32</v>
      </c>
      <c r="D81" s="29" t="s">
        <v>1038</v>
      </c>
      <c r="F81" s="29" t="s">
        <v>1491</v>
      </c>
      <c r="I81" s="30" t="s">
        <v>1308</v>
      </c>
      <c r="J81" s="29" t="s">
        <v>1380</v>
      </c>
      <c r="K81" s="28">
        <v>46224</v>
      </c>
    </row>
    <row r="82" spans="1:11" x14ac:dyDescent="0.4">
      <c r="A82" s="28">
        <v>46181</v>
      </c>
      <c r="B82" s="29" t="s">
        <v>32</v>
      </c>
      <c r="D82" s="29" t="s">
        <v>1042</v>
      </c>
      <c r="F82" s="29" t="s">
        <v>1491</v>
      </c>
      <c r="I82" s="30" t="s">
        <v>1313</v>
      </c>
      <c r="J82" s="29" t="s">
        <v>1381</v>
      </c>
      <c r="K82" s="28">
        <v>46224</v>
      </c>
    </row>
    <row r="83" spans="1:11" x14ac:dyDescent="0.4">
      <c r="A83" s="28">
        <v>46182</v>
      </c>
      <c r="B83" s="29" t="s">
        <v>866</v>
      </c>
      <c r="D83" s="29" t="s">
        <v>503</v>
      </c>
      <c r="F83" s="29" t="s">
        <v>1484</v>
      </c>
      <c r="I83" s="30" t="s">
        <v>1333</v>
      </c>
      <c r="J83" s="29" t="s">
        <v>1382</v>
      </c>
    </row>
    <row r="84" spans="1:11" x14ac:dyDescent="0.4">
      <c r="A84" s="28">
        <v>46205</v>
      </c>
      <c r="B84" s="29" t="s">
        <v>866</v>
      </c>
      <c r="D84" s="29" t="s">
        <v>915</v>
      </c>
      <c r="F84" s="29" t="s">
        <v>1488</v>
      </c>
      <c r="I84" s="30" t="s">
        <v>1347</v>
      </c>
      <c r="J84" s="29" t="s">
        <v>1383</v>
      </c>
    </row>
    <row r="85" spans="1:11" x14ac:dyDescent="0.4">
      <c r="A85" s="28">
        <v>46202</v>
      </c>
      <c r="B85" s="29" t="s">
        <v>866</v>
      </c>
      <c r="D85" s="29" t="s">
        <v>1046</v>
      </c>
      <c r="F85" s="29" t="s">
        <v>1491</v>
      </c>
      <c r="I85" s="30" t="s">
        <v>1333</v>
      </c>
      <c r="J85" s="29" t="s">
        <v>1384</v>
      </c>
      <c r="K85" s="28">
        <v>46203</v>
      </c>
    </row>
    <row r="86" spans="1:11" x14ac:dyDescent="0.4">
      <c r="A86" s="28">
        <v>46184</v>
      </c>
      <c r="B86" s="29" t="s">
        <v>866</v>
      </c>
      <c r="D86" s="29" t="s">
        <v>1050</v>
      </c>
      <c r="F86" s="29" t="s">
        <v>1491</v>
      </c>
      <c r="I86" s="30" t="s">
        <v>1333</v>
      </c>
    </row>
    <row r="87" spans="1:11" x14ac:dyDescent="0.4">
      <c r="A87" s="28">
        <v>46188</v>
      </c>
      <c r="B87" s="29" t="s">
        <v>32</v>
      </c>
      <c r="D87" s="29" t="s">
        <v>1051</v>
      </c>
      <c r="F87" s="29" t="s">
        <v>1491</v>
      </c>
      <c r="I87" s="30" t="s">
        <v>1308</v>
      </c>
      <c r="J87" s="29" t="s">
        <v>1385</v>
      </c>
      <c r="K87" s="28">
        <v>46224</v>
      </c>
    </row>
    <row r="88" spans="1:11" x14ac:dyDescent="0.4">
      <c r="A88" s="28">
        <v>46188</v>
      </c>
      <c r="B88" s="29" t="s">
        <v>32</v>
      </c>
      <c r="D88" s="29" t="s">
        <v>1053</v>
      </c>
      <c r="F88" s="29" t="s">
        <v>1488</v>
      </c>
      <c r="I88" s="30" t="s">
        <v>1308</v>
      </c>
      <c r="J88" s="29" t="s">
        <v>1386</v>
      </c>
      <c r="K88" s="28">
        <v>46224</v>
      </c>
    </row>
    <row r="89" spans="1:11" x14ac:dyDescent="0.4">
      <c r="A89" s="28">
        <v>46203</v>
      </c>
      <c r="B89" s="29" t="s">
        <v>866</v>
      </c>
      <c r="D89" s="29" t="s">
        <v>621</v>
      </c>
      <c r="F89" s="29" t="s">
        <v>1491</v>
      </c>
      <c r="I89" s="30" t="s">
        <v>1333</v>
      </c>
      <c r="J89" s="29" t="s">
        <v>1387</v>
      </c>
      <c r="K89" s="28">
        <v>46209</v>
      </c>
    </row>
    <row r="90" spans="1:11" x14ac:dyDescent="0.4">
      <c r="A90" s="28">
        <v>46203</v>
      </c>
      <c r="B90" s="29" t="s">
        <v>866</v>
      </c>
      <c r="D90" s="29" t="s">
        <v>1059</v>
      </c>
      <c r="F90" s="29" t="s">
        <v>1491</v>
      </c>
      <c r="I90" s="30" t="s">
        <v>1333</v>
      </c>
    </row>
    <row r="91" spans="1:11" x14ac:dyDescent="0.4">
      <c r="A91" s="28">
        <v>46192</v>
      </c>
      <c r="B91" s="29" t="s">
        <v>866</v>
      </c>
      <c r="D91" s="29" t="s">
        <v>1063</v>
      </c>
      <c r="F91" s="29" t="s">
        <v>1491</v>
      </c>
      <c r="I91" s="30" t="s">
        <v>1333</v>
      </c>
    </row>
    <row r="92" spans="1:11" x14ac:dyDescent="0.4">
      <c r="A92" s="28">
        <v>46192</v>
      </c>
      <c r="B92" s="29" t="s">
        <v>866</v>
      </c>
      <c r="D92" s="29" t="s">
        <v>1060</v>
      </c>
      <c r="F92" s="29" t="s">
        <v>1491</v>
      </c>
      <c r="I92" s="30" t="s">
        <v>1333</v>
      </c>
      <c r="J92" s="29" t="s">
        <v>1388</v>
      </c>
    </row>
    <row r="93" spans="1:11" x14ac:dyDescent="0.4">
      <c r="A93" s="28">
        <v>46192</v>
      </c>
      <c r="B93" s="29" t="s">
        <v>866</v>
      </c>
      <c r="D93" s="29" t="s">
        <v>344</v>
      </c>
      <c r="F93" s="29" t="s">
        <v>1491</v>
      </c>
      <c r="I93" s="30" t="s">
        <v>1308</v>
      </c>
      <c r="J93" s="29" t="s">
        <v>1389</v>
      </c>
    </row>
    <row r="94" spans="1:11" x14ac:dyDescent="0.4">
      <c r="A94" s="28">
        <v>46192</v>
      </c>
      <c r="B94" s="29" t="s">
        <v>32</v>
      </c>
      <c r="D94" s="29" t="s">
        <v>1073</v>
      </c>
      <c r="F94" s="29" t="s">
        <v>1488</v>
      </c>
      <c r="I94" s="30" t="s">
        <v>1308</v>
      </c>
      <c r="J94" s="29" t="s">
        <v>1390</v>
      </c>
      <c r="K94" s="28">
        <v>46224</v>
      </c>
    </row>
    <row r="95" spans="1:11" x14ac:dyDescent="0.4">
      <c r="A95" s="28">
        <v>46192</v>
      </c>
      <c r="B95" s="29" t="s">
        <v>32</v>
      </c>
      <c r="D95" s="29" t="s">
        <v>1075</v>
      </c>
      <c r="F95" s="29" t="s">
        <v>1490</v>
      </c>
      <c r="I95" s="30" t="s">
        <v>1313</v>
      </c>
      <c r="J95" s="29" t="s">
        <v>1391</v>
      </c>
      <c r="K95" s="28">
        <v>46224</v>
      </c>
    </row>
    <row r="96" spans="1:11" x14ac:dyDescent="0.4">
      <c r="A96" s="28">
        <v>46192</v>
      </c>
      <c r="B96" s="29" t="s">
        <v>866</v>
      </c>
      <c r="D96" s="29" t="s">
        <v>1072</v>
      </c>
      <c r="F96" s="29" t="s">
        <v>1484</v>
      </c>
      <c r="I96" s="30" t="s">
        <v>1347</v>
      </c>
    </row>
    <row r="97" spans="1:11" x14ac:dyDescent="0.4">
      <c r="A97" s="28">
        <v>46202</v>
      </c>
      <c r="B97" s="29" t="s">
        <v>866</v>
      </c>
      <c r="D97" s="29" t="s">
        <v>1080</v>
      </c>
      <c r="F97" s="29" t="s">
        <v>1491</v>
      </c>
      <c r="I97" s="30" t="s">
        <v>1333</v>
      </c>
      <c r="J97" s="29" t="s">
        <v>1392</v>
      </c>
      <c r="K97" s="28">
        <v>46203</v>
      </c>
    </row>
    <row r="98" spans="1:11" x14ac:dyDescent="0.4">
      <c r="A98" s="28">
        <v>46195</v>
      </c>
      <c r="B98" s="29" t="s">
        <v>866</v>
      </c>
      <c r="D98" s="29" t="s">
        <v>1083</v>
      </c>
      <c r="F98" s="29" t="s">
        <v>1491</v>
      </c>
      <c r="I98" s="30" t="s">
        <v>1335</v>
      </c>
    </row>
    <row r="99" spans="1:11" x14ac:dyDescent="0.4">
      <c r="A99" s="28">
        <v>46217</v>
      </c>
      <c r="B99" s="29" t="s">
        <v>866</v>
      </c>
      <c r="D99" s="29" t="s">
        <v>1086</v>
      </c>
      <c r="F99" s="29" t="s">
        <v>1484</v>
      </c>
      <c r="I99" s="30" t="s">
        <v>1333</v>
      </c>
      <c r="J99" s="29" t="s">
        <v>1393</v>
      </c>
      <c r="K99" s="28">
        <v>46216</v>
      </c>
    </row>
    <row r="100" spans="1:11" x14ac:dyDescent="0.4">
      <c r="A100" s="28">
        <v>46195</v>
      </c>
      <c r="B100" s="29" t="s">
        <v>866</v>
      </c>
      <c r="D100" s="29" t="s">
        <v>1091</v>
      </c>
      <c r="F100" s="29" t="s">
        <v>1491</v>
      </c>
      <c r="I100" s="30" t="s">
        <v>1333</v>
      </c>
    </row>
    <row r="101" spans="1:11" x14ac:dyDescent="0.4">
      <c r="A101" s="28">
        <v>46210</v>
      </c>
      <c r="B101" s="29" t="s">
        <v>866</v>
      </c>
      <c r="D101" s="29" t="s">
        <v>1108</v>
      </c>
      <c r="F101" s="29" t="s">
        <v>1490</v>
      </c>
      <c r="I101" s="30" t="s">
        <v>1333</v>
      </c>
      <c r="J101" s="29" t="s">
        <v>1394</v>
      </c>
      <c r="K101" s="28">
        <v>46234</v>
      </c>
    </row>
    <row r="102" spans="1:11" x14ac:dyDescent="0.4">
      <c r="A102" s="28">
        <v>46202</v>
      </c>
      <c r="B102" s="29" t="s">
        <v>866</v>
      </c>
      <c r="D102" s="29" t="s">
        <v>363</v>
      </c>
      <c r="F102" s="29" t="s">
        <v>1491</v>
      </c>
      <c r="I102" s="30" t="s">
        <v>1335</v>
      </c>
    </row>
    <row r="103" spans="1:11" x14ac:dyDescent="0.4">
      <c r="A103" s="28">
        <v>46199</v>
      </c>
      <c r="B103" s="29" t="s">
        <v>32</v>
      </c>
      <c r="C103" s="47"/>
      <c r="D103" s="11" t="s">
        <v>1094</v>
      </c>
      <c r="E103" s="48"/>
      <c r="F103" s="29" t="s">
        <v>1490</v>
      </c>
      <c r="G103" s="48"/>
      <c r="H103" s="48"/>
      <c r="I103" s="30" t="s">
        <v>1347</v>
      </c>
      <c r="J103" s="29" t="s">
        <v>1395</v>
      </c>
      <c r="K103" s="28">
        <v>46224</v>
      </c>
    </row>
    <row r="104" spans="1:11" x14ac:dyDescent="0.4">
      <c r="A104" s="28">
        <v>46199</v>
      </c>
      <c r="B104" s="29" t="s">
        <v>32</v>
      </c>
      <c r="C104" s="47"/>
      <c r="D104" s="11" t="s">
        <v>1098</v>
      </c>
      <c r="E104" s="48"/>
      <c r="F104" s="29" t="s">
        <v>1490</v>
      </c>
      <c r="G104" s="48"/>
      <c r="H104" s="48"/>
      <c r="I104" s="30" t="s">
        <v>1313</v>
      </c>
      <c r="J104" s="29" t="s">
        <v>1396</v>
      </c>
      <c r="K104" s="28">
        <v>46224</v>
      </c>
    </row>
    <row r="105" spans="1:11" x14ac:dyDescent="0.4">
      <c r="A105" s="28">
        <v>46199</v>
      </c>
      <c r="B105" s="29" t="s">
        <v>32</v>
      </c>
      <c r="D105" s="29" t="s">
        <v>1102</v>
      </c>
      <c r="F105" s="29" t="s">
        <v>1484</v>
      </c>
      <c r="I105" s="30" t="s">
        <v>1333</v>
      </c>
      <c r="J105" s="29" t="s">
        <v>1397</v>
      </c>
      <c r="K105" s="28">
        <v>46224</v>
      </c>
    </row>
    <row r="106" spans="1:11" x14ac:dyDescent="0.4">
      <c r="A106" s="28">
        <v>46199</v>
      </c>
      <c r="B106" s="29" t="s">
        <v>32</v>
      </c>
      <c r="D106" s="29" t="s">
        <v>1104</v>
      </c>
      <c r="F106" s="29" t="s">
        <v>1484</v>
      </c>
      <c r="I106" s="30" t="s">
        <v>1347</v>
      </c>
      <c r="J106" s="29" t="s">
        <v>1398</v>
      </c>
      <c r="K106" s="28">
        <v>46198</v>
      </c>
    </row>
    <row r="107" spans="1:11" x14ac:dyDescent="0.4">
      <c r="A107" s="28">
        <v>46202</v>
      </c>
      <c r="B107" s="29" t="s">
        <v>866</v>
      </c>
      <c r="D107" s="29" t="s">
        <v>1109</v>
      </c>
      <c r="F107" s="29" t="s">
        <v>1491</v>
      </c>
      <c r="I107" s="30" t="s">
        <v>1335</v>
      </c>
    </row>
    <row r="108" spans="1:11" x14ac:dyDescent="0.4">
      <c r="A108" s="28">
        <v>46203</v>
      </c>
      <c r="B108" s="29" t="s">
        <v>866</v>
      </c>
      <c r="D108" s="29" t="s">
        <v>1111</v>
      </c>
      <c r="F108" s="29" t="s">
        <v>1491</v>
      </c>
      <c r="I108" s="30" t="s">
        <v>1333</v>
      </c>
      <c r="J108" s="29" t="s">
        <v>1399</v>
      </c>
      <c r="K108" s="28">
        <v>46204</v>
      </c>
    </row>
    <row r="109" spans="1:11" x14ac:dyDescent="0.4">
      <c r="A109" s="28">
        <v>46202</v>
      </c>
      <c r="B109" s="29" t="s">
        <v>866</v>
      </c>
      <c r="D109" s="29" t="s">
        <v>103</v>
      </c>
      <c r="F109" s="29" t="s">
        <v>1491</v>
      </c>
      <c r="I109" s="30" t="s">
        <v>1335</v>
      </c>
    </row>
    <row r="110" spans="1:11" x14ac:dyDescent="0.4">
      <c r="A110" s="28">
        <v>46203</v>
      </c>
      <c r="B110" s="29" t="s">
        <v>866</v>
      </c>
      <c r="D110" s="29" t="s">
        <v>1114</v>
      </c>
      <c r="F110" s="29" t="s">
        <v>1491</v>
      </c>
      <c r="I110" s="30" t="s">
        <v>1335</v>
      </c>
    </row>
    <row r="111" spans="1:11" x14ac:dyDescent="0.4">
      <c r="A111" s="28">
        <v>46203</v>
      </c>
      <c r="B111" s="29" t="s">
        <v>866</v>
      </c>
      <c r="D111" s="29" t="s">
        <v>1118</v>
      </c>
      <c r="F111" s="29" t="s">
        <v>1491</v>
      </c>
      <c r="I111" s="30" t="s">
        <v>1335</v>
      </c>
      <c r="J111" s="29" t="s">
        <v>1400</v>
      </c>
    </row>
    <row r="112" spans="1:11" x14ac:dyDescent="0.4">
      <c r="A112" s="28">
        <v>46203</v>
      </c>
      <c r="B112" s="29" t="s">
        <v>866</v>
      </c>
      <c r="D112" s="29" t="s">
        <v>1122</v>
      </c>
      <c r="F112" s="29" t="s">
        <v>1491</v>
      </c>
      <c r="I112" s="30" t="s">
        <v>1333</v>
      </c>
    </row>
    <row r="113" spans="1:11" x14ac:dyDescent="0.4">
      <c r="A113" s="28">
        <v>46203</v>
      </c>
      <c r="B113" s="29" t="s">
        <v>866</v>
      </c>
      <c r="D113" s="29" t="s">
        <v>1126</v>
      </c>
      <c r="F113" s="29" t="s">
        <v>1491</v>
      </c>
      <c r="I113" s="30" t="s">
        <v>1335</v>
      </c>
    </row>
    <row r="114" spans="1:11" x14ac:dyDescent="0.4">
      <c r="A114" s="28">
        <v>46203</v>
      </c>
      <c r="B114" s="29" t="s">
        <v>866</v>
      </c>
      <c r="D114" s="29" t="s">
        <v>515</v>
      </c>
      <c r="F114" s="29" t="s">
        <v>1491</v>
      </c>
      <c r="I114" s="30" t="s">
        <v>1335</v>
      </c>
      <c r="J114" s="29" t="s">
        <v>1401</v>
      </c>
    </row>
    <row r="115" spans="1:11" x14ac:dyDescent="0.4">
      <c r="A115" s="28">
        <v>46203</v>
      </c>
      <c r="B115" s="29" t="s">
        <v>866</v>
      </c>
      <c r="D115" s="29" t="s">
        <v>505</v>
      </c>
      <c r="F115" s="29" t="s">
        <v>1491</v>
      </c>
      <c r="I115" s="30" t="s">
        <v>1335</v>
      </c>
      <c r="J115" s="29" t="s">
        <v>1401</v>
      </c>
    </row>
    <row r="116" spans="1:11" x14ac:dyDescent="0.4">
      <c r="A116" s="28">
        <v>46203</v>
      </c>
      <c r="B116" s="29" t="s">
        <v>866</v>
      </c>
      <c r="D116" s="29" t="s">
        <v>1130</v>
      </c>
      <c r="F116" s="29" t="s">
        <v>1491</v>
      </c>
      <c r="I116" s="30" t="s">
        <v>1335</v>
      </c>
    </row>
    <row r="117" spans="1:11" x14ac:dyDescent="0.4">
      <c r="A117" s="28">
        <v>46206</v>
      </c>
      <c r="B117" s="29" t="s">
        <v>866</v>
      </c>
      <c r="D117" s="29" t="s">
        <v>1138</v>
      </c>
      <c r="F117" s="29" t="s">
        <v>1491</v>
      </c>
      <c r="I117" s="30" t="s">
        <v>1333</v>
      </c>
      <c r="J117" s="29" t="s">
        <v>1402</v>
      </c>
      <c r="K117" s="28">
        <v>46206</v>
      </c>
    </row>
    <row r="118" spans="1:11" x14ac:dyDescent="0.4">
      <c r="A118" s="28">
        <v>46204</v>
      </c>
      <c r="B118" s="29" t="s">
        <v>866</v>
      </c>
      <c r="D118" s="29" t="s">
        <v>1148</v>
      </c>
      <c r="F118" s="29" t="s">
        <v>1491</v>
      </c>
      <c r="I118" s="30" t="s">
        <v>1333</v>
      </c>
    </row>
    <row r="119" spans="1:11" x14ac:dyDescent="0.4">
      <c r="A119" s="28">
        <v>46204</v>
      </c>
      <c r="B119" s="29" t="s">
        <v>866</v>
      </c>
      <c r="D119" s="29" t="s">
        <v>1149</v>
      </c>
      <c r="F119" s="29" t="s">
        <v>1491</v>
      </c>
      <c r="I119" s="30" t="s">
        <v>1335</v>
      </c>
    </row>
    <row r="120" spans="1:11" x14ac:dyDescent="0.4">
      <c r="A120" s="28">
        <v>46206</v>
      </c>
      <c r="B120" s="29" t="s">
        <v>866</v>
      </c>
      <c r="D120" s="29" t="s">
        <v>1155</v>
      </c>
      <c r="F120" s="29" t="s">
        <v>1491</v>
      </c>
      <c r="I120" s="30" t="s">
        <v>1333</v>
      </c>
      <c r="J120" s="29" t="s">
        <v>1403</v>
      </c>
    </row>
    <row r="121" spans="1:11" x14ac:dyDescent="0.4">
      <c r="A121" s="28">
        <v>46206</v>
      </c>
      <c r="B121" s="29" t="s">
        <v>866</v>
      </c>
      <c r="D121" s="29" t="s">
        <v>1152</v>
      </c>
      <c r="F121" s="29" t="s">
        <v>1491</v>
      </c>
      <c r="I121" s="30" t="s">
        <v>1333</v>
      </c>
    </row>
    <row r="122" spans="1:11" x14ac:dyDescent="0.4">
      <c r="A122" s="28">
        <v>46210</v>
      </c>
      <c r="B122" s="29" t="s">
        <v>866</v>
      </c>
      <c r="D122" s="29" t="s">
        <v>1159</v>
      </c>
      <c r="F122" s="29" t="s">
        <v>1491</v>
      </c>
      <c r="I122" s="30" t="s">
        <v>1333</v>
      </c>
    </row>
    <row r="123" spans="1:11" x14ac:dyDescent="0.4">
      <c r="A123" s="28">
        <v>46210</v>
      </c>
      <c r="B123" s="29" t="s">
        <v>866</v>
      </c>
      <c r="D123" s="29" t="s">
        <v>1163</v>
      </c>
      <c r="F123" s="29" t="s">
        <v>1491</v>
      </c>
      <c r="I123" s="30" t="s">
        <v>1333</v>
      </c>
      <c r="J123" s="29" t="s">
        <v>1404</v>
      </c>
    </row>
    <row r="124" spans="1:11" x14ac:dyDescent="0.4">
      <c r="A124" s="28">
        <v>46210</v>
      </c>
      <c r="B124" s="29" t="s">
        <v>866</v>
      </c>
      <c r="D124" s="29" t="s">
        <v>1166</v>
      </c>
      <c r="F124" s="29" t="s">
        <v>1491</v>
      </c>
      <c r="I124" s="30" t="s">
        <v>1333</v>
      </c>
      <c r="J124" s="29" t="s">
        <v>1405</v>
      </c>
    </row>
    <row r="125" spans="1:11" x14ac:dyDescent="0.4">
      <c r="A125" s="28">
        <v>46210</v>
      </c>
      <c r="B125" s="29" t="s">
        <v>866</v>
      </c>
      <c r="D125" s="29" t="s">
        <v>1171</v>
      </c>
      <c r="F125" s="29" t="s">
        <v>1491</v>
      </c>
      <c r="I125" s="30" t="s">
        <v>1333</v>
      </c>
      <c r="J125" s="29" t="s">
        <v>1406</v>
      </c>
    </row>
    <row r="126" spans="1:11" x14ac:dyDescent="0.4">
      <c r="A126" s="28">
        <v>46210</v>
      </c>
      <c r="B126" s="29" t="s">
        <v>866</v>
      </c>
      <c r="D126" s="29" t="s">
        <v>1174</v>
      </c>
      <c r="F126" s="29" t="s">
        <v>1491</v>
      </c>
      <c r="I126" s="30" t="s">
        <v>1333</v>
      </c>
      <c r="J126" s="29" t="s">
        <v>1407</v>
      </c>
      <c r="K126" s="28">
        <v>46213</v>
      </c>
    </row>
    <row r="127" spans="1:11" x14ac:dyDescent="0.4">
      <c r="A127" s="28">
        <v>46210</v>
      </c>
      <c r="B127" s="29" t="s">
        <v>866</v>
      </c>
      <c r="D127" s="29" t="s">
        <v>1177</v>
      </c>
      <c r="F127" s="29" t="s">
        <v>1490</v>
      </c>
      <c r="I127" s="30" t="s">
        <v>1333</v>
      </c>
      <c r="J127" s="29" t="s">
        <v>1408</v>
      </c>
      <c r="K127" s="28">
        <v>46216</v>
      </c>
    </row>
    <row r="128" spans="1:11" x14ac:dyDescent="0.4">
      <c r="A128" s="28">
        <v>46210</v>
      </c>
      <c r="B128" s="29" t="s">
        <v>866</v>
      </c>
      <c r="D128" s="29" t="s">
        <v>1182</v>
      </c>
      <c r="F128" s="29" t="s">
        <v>1484</v>
      </c>
      <c r="I128" s="30" t="s">
        <v>1333</v>
      </c>
      <c r="J128" s="29" t="s">
        <v>1409</v>
      </c>
    </row>
    <row r="129" spans="1:11" x14ac:dyDescent="0.4">
      <c r="A129" s="28">
        <v>46210</v>
      </c>
      <c r="B129" s="29" t="s">
        <v>866</v>
      </c>
      <c r="D129" s="29" t="s">
        <v>1185</v>
      </c>
      <c r="F129" s="29" t="s">
        <v>1491</v>
      </c>
      <c r="I129" s="30" t="s">
        <v>1333</v>
      </c>
      <c r="J129" s="29" t="s">
        <v>1410</v>
      </c>
    </row>
    <row r="130" spans="1:11" x14ac:dyDescent="0.4">
      <c r="A130" s="28">
        <v>46211</v>
      </c>
      <c r="B130" s="29" t="s">
        <v>866</v>
      </c>
      <c r="D130" s="29" t="s">
        <v>1190</v>
      </c>
      <c r="F130" s="29" t="s">
        <v>1491</v>
      </c>
      <c r="I130" s="30" t="s">
        <v>1333</v>
      </c>
      <c r="J130" s="29" t="s">
        <v>1411</v>
      </c>
    </row>
    <row r="131" spans="1:11" x14ac:dyDescent="0.4">
      <c r="A131" s="28">
        <v>46211</v>
      </c>
      <c r="B131" s="29" t="s">
        <v>866</v>
      </c>
      <c r="D131" s="29" t="s">
        <v>1195</v>
      </c>
      <c r="F131" s="29" t="s">
        <v>1490</v>
      </c>
      <c r="I131" s="30" t="s">
        <v>1333</v>
      </c>
      <c r="J131" s="29" t="s">
        <v>1412</v>
      </c>
      <c r="K131" s="28">
        <v>46216</v>
      </c>
    </row>
    <row r="132" spans="1:11" x14ac:dyDescent="0.4">
      <c r="A132" s="28">
        <v>46211</v>
      </c>
      <c r="B132" s="29" t="s">
        <v>866</v>
      </c>
      <c r="D132" s="29" t="s">
        <v>844</v>
      </c>
      <c r="F132" s="29" t="s">
        <v>1490</v>
      </c>
      <c r="I132" s="30" t="s">
        <v>1333</v>
      </c>
      <c r="J132" s="29" t="s">
        <v>1413</v>
      </c>
      <c r="K132" s="28">
        <v>46216</v>
      </c>
    </row>
    <row r="133" spans="1:11" x14ac:dyDescent="0.4">
      <c r="A133" s="28">
        <v>46211</v>
      </c>
      <c r="B133" s="29" t="s">
        <v>866</v>
      </c>
      <c r="D133" s="29" t="s">
        <v>722</v>
      </c>
      <c r="F133" s="29" t="s">
        <v>1491</v>
      </c>
      <c r="I133" s="30" t="s">
        <v>1333</v>
      </c>
      <c r="J133" s="29" t="s">
        <v>1414</v>
      </c>
    </row>
    <row r="134" spans="1:11" x14ac:dyDescent="0.4">
      <c r="A134" s="28">
        <v>46211</v>
      </c>
      <c r="B134" s="29" t="s">
        <v>866</v>
      </c>
      <c r="D134" s="29" t="s">
        <v>270</v>
      </c>
      <c r="F134" s="29" t="s">
        <v>1491</v>
      </c>
      <c r="I134" s="30" t="s">
        <v>1333</v>
      </c>
      <c r="J134" s="29" t="s">
        <v>1415</v>
      </c>
    </row>
    <row r="135" spans="1:11" x14ac:dyDescent="0.4">
      <c r="A135" s="28">
        <v>46211</v>
      </c>
      <c r="B135" s="29" t="s">
        <v>866</v>
      </c>
      <c r="D135" s="29" t="s">
        <v>1199</v>
      </c>
      <c r="F135" s="29" t="s">
        <v>1484</v>
      </c>
      <c r="I135" s="30" t="s">
        <v>1333</v>
      </c>
      <c r="J135" s="29" t="s">
        <v>1416</v>
      </c>
    </row>
    <row r="136" spans="1:11" x14ac:dyDescent="0.4">
      <c r="A136" s="28">
        <v>46212</v>
      </c>
      <c r="B136" s="29" t="s">
        <v>866</v>
      </c>
      <c r="D136" s="29" t="s">
        <v>1202</v>
      </c>
      <c r="F136" s="29" t="s">
        <v>1484</v>
      </c>
      <c r="I136" s="30" t="s">
        <v>1333</v>
      </c>
      <c r="J136" s="29" t="s">
        <v>1417</v>
      </c>
    </row>
    <row r="137" spans="1:11" x14ac:dyDescent="0.4">
      <c r="A137" s="28">
        <v>46212</v>
      </c>
      <c r="B137" s="29" t="s">
        <v>866</v>
      </c>
      <c r="D137" s="29" t="s">
        <v>324</v>
      </c>
      <c r="F137" s="29" t="s">
        <v>1490</v>
      </c>
      <c r="I137" s="30" t="s">
        <v>1333</v>
      </c>
      <c r="J137" s="29" t="s">
        <v>1418</v>
      </c>
      <c r="K137" s="28">
        <v>46217</v>
      </c>
    </row>
    <row r="138" spans="1:11" x14ac:dyDescent="0.4">
      <c r="A138" s="28">
        <v>46212</v>
      </c>
      <c r="B138" s="29" t="s">
        <v>866</v>
      </c>
      <c r="D138" s="29" t="s">
        <v>1206</v>
      </c>
      <c r="F138" s="29" t="s">
        <v>1491</v>
      </c>
      <c r="I138" s="30" t="s">
        <v>1333</v>
      </c>
      <c r="J138" s="29" t="s">
        <v>1419</v>
      </c>
    </row>
    <row r="139" spans="1:11" x14ac:dyDescent="0.4">
      <c r="A139" s="28">
        <v>46212</v>
      </c>
      <c r="B139" s="29" t="s">
        <v>866</v>
      </c>
      <c r="D139" s="29" t="s">
        <v>1210</v>
      </c>
      <c r="F139" s="29" t="s">
        <v>1490</v>
      </c>
      <c r="I139" s="30" t="s">
        <v>1333</v>
      </c>
      <c r="J139" s="29" t="s">
        <v>1420</v>
      </c>
    </row>
    <row r="140" spans="1:11" x14ac:dyDescent="0.4">
      <c r="A140" s="28">
        <v>46212</v>
      </c>
      <c r="B140" s="29" t="s">
        <v>866</v>
      </c>
      <c r="D140" s="29" t="s">
        <v>922</v>
      </c>
      <c r="F140" s="29" t="s">
        <v>1491</v>
      </c>
      <c r="I140" s="30" t="s">
        <v>1333</v>
      </c>
      <c r="J140" s="29" t="s">
        <v>1421</v>
      </c>
      <c r="K140" s="28">
        <v>46213</v>
      </c>
    </row>
    <row r="141" spans="1:11" x14ac:dyDescent="0.4">
      <c r="A141" s="28">
        <v>46212</v>
      </c>
      <c r="B141" s="29" t="s">
        <v>866</v>
      </c>
      <c r="D141" s="29" t="s">
        <v>291</v>
      </c>
      <c r="F141" s="29" t="s">
        <v>1491</v>
      </c>
      <c r="I141" s="30" t="s">
        <v>1333</v>
      </c>
    </row>
    <row r="142" spans="1:11" x14ac:dyDescent="0.4">
      <c r="A142" s="28">
        <v>46211</v>
      </c>
      <c r="B142" s="29" t="s">
        <v>32</v>
      </c>
      <c r="C142" s="47"/>
      <c r="D142" s="11" t="s">
        <v>1220</v>
      </c>
      <c r="E142" s="48"/>
      <c r="F142" s="29" t="s">
        <v>1484</v>
      </c>
      <c r="G142" s="48"/>
      <c r="H142" s="48"/>
      <c r="I142" s="30" t="s">
        <v>1347</v>
      </c>
    </row>
    <row r="143" spans="1:11" x14ac:dyDescent="0.4">
      <c r="A143" s="28">
        <v>46211</v>
      </c>
      <c r="B143" s="29" t="s">
        <v>32</v>
      </c>
      <c r="C143" s="47"/>
      <c r="D143" s="11" t="s">
        <v>1222</v>
      </c>
      <c r="E143" s="48"/>
      <c r="F143" s="29" t="s">
        <v>1490</v>
      </c>
      <c r="G143" s="48"/>
      <c r="H143" s="48"/>
      <c r="I143" s="30" t="s">
        <v>1308</v>
      </c>
      <c r="J143" s="29" t="s">
        <v>1422</v>
      </c>
      <c r="K143" s="28">
        <v>46224</v>
      </c>
    </row>
    <row r="144" spans="1:11" x14ac:dyDescent="0.4">
      <c r="A144" s="28">
        <v>46211</v>
      </c>
      <c r="B144" s="29" t="s">
        <v>32</v>
      </c>
      <c r="C144" s="47"/>
      <c r="D144" s="11" t="s">
        <v>1226</v>
      </c>
      <c r="E144" s="48"/>
      <c r="F144" s="29" t="s">
        <v>1490</v>
      </c>
      <c r="G144" s="48"/>
      <c r="H144" s="48"/>
      <c r="I144" s="30" t="s">
        <v>1308</v>
      </c>
      <c r="J144" s="29" t="s">
        <v>1422</v>
      </c>
      <c r="K144" s="28">
        <v>46224</v>
      </c>
    </row>
    <row r="145" spans="1:11" x14ac:dyDescent="0.4">
      <c r="A145" s="28">
        <v>46211</v>
      </c>
      <c r="B145" s="29" t="s">
        <v>32</v>
      </c>
      <c r="C145" s="47"/>
      <c r="D145" s="11" t="s">
        <v>1227</v>
      </c>
      <c r="E145" s="48"/>
      <c r="F145" s="29" t="s">
        <v>1484</v>
      </c>
      <c r="G145" s="48"/>
      <c r="H145" s="48"/>
      <c r="I145" s="30" t="s">
        <v>1347</v>
      </c>
      <c r="J145" s="29" t="s">
        <v>1423</v>
      </c>
      <c r="K145" s="28">
        <v>46224</v>
      </c>
    </row>
    <row r="146" spans="1:11" x14ac:dyDescent="0.4">
      <c r="A146" s="28">
        <v>46211</v>
      </c>
      <c r="B146" s="29" t="s">
        <v>32</v>
      </c>
      <c r="C146" s="47"/>
      <c r="D146" s="11" t="s">
        <v>1230</v>
      </c>
      <c r="E146" s="48"/>
      <c r="F146" s="29" t="s">
        <v>1484</v>
      </c>
      <c r="G146" s="48"/>
      <c r="H146" s="48"/>
      <c r="I146" s="30" t="s">
        <v>1347</v>
      </c>
      <c r="J146" s="29" t="s">
        <v>1424</v>
      </c>
      <c r="K146" s="28">
        <v>46224</v>
      </c>
    </row>
    <row r="147" spans="1:11" x14ac:dyDescent="0.4">
      <c r="A147" s="28">
        <v>46211</v>
      </c>
      <c r="B147" s="29" t="s">
        <v>32</v>
      </c>
      <c r="C147" s="47"/>
      <c r="D147" s="11" t="s">
        <v>1147</v>
      </c>
      <c r="E147" s="48"/>
      <c r="F147" s="29" t="s">
        <v>1484</v>
      </c>
      <c r="G147" s="48"/>
      <c r="H147" s="48"/>
      <c r="I147" s="30" t="s">
        <v>1347</v>
      </c>
      <c r="J147" s="29" t="s">
        <v>1425</v>
      </c>
      <c r="K147" s="28">
        <v>46224</v>
      </c>
    </row>
    <row r="148" spans="1:11" x14ac:dyDescent="0.4">
      <c r="A148" s="28">
        <v>46213</v>
      </c>
      <c r="B148" s="29" t="s">
        <v>866</v>
      </c>
      <c r="D148" s="29" t="s">
        <v>531</v>
      </c>
      <c r="F148" s="29" t="s">
        <v>1484</v>
      </c>
      <c r="I148" s="30" t="s">
        <v>1333</v>
      </c>
      <c r="J148" s="29" t="s">
        <v>1426</v>
      </c>
      <c r="K148" s="28">
        <v>46216</v>
      </c>
    </row>
    <row r="149" spans="1:11" x14ac:dyDescent="0.4">
      <c r="A149" s="28">
        <v>46213</v>
      </c>
      <c r="B149" s="29" t="s">
        <v>866</v>
      </c>
      <c r="D149" s="29" t="s">
        <v>529</v>
      </c>
      <c r="F149" s="29" t="s">
        <v>1491</v>
      </c>
      <c r="I149" s="30" t="s">
        <v>1333</v>
      </c>
      <c r="J149" s="29" t="s">
        <v>1427</v>
      </c>
    </row>
    <row r="150" spans="1:11" x14ac:dyDescent="0.4">
      <c r="A150" s="28">
        <v>46213</v>
      </c>
      <c r="B150" s="29" t="s">
        <v>866</v>
      </c>
      <c r="D150" s="29" t="s">
        <v>1236</v>
      </c>
      <c r="F150" s="29" t="s">
        <v>1491</v>
      </c>
      <c r="I150" s="30" t="s">
        <v>1333</v>
      </c>
    </row>
    <row r="151" spans="1:11" x14ac:dyDescent="0.4">
      <c r="A151" s="28">
        <v>46213</v>
      </c>
      <c r="B151" s="29" t="s">
        <v>866</v>
      </c>
      <c r="D151" s="29" t="s">
        <v>525</v>
      </c>
      <c r="F151" s="29" t="s">
        <v>1491</v>
      </c>
      <c r="I151" s="30" t="s">
        <v>1333</v>
      </c>
      <c r="J151" s="29" t="s">
        <v>1428</v>
      </c>
      <c r="K151" s="28">
        <v>46216</v>
      </c>
    </row>
    <row r="152" spans="1:11" x14ac:dyDescent="0.4">
      <c r="A152" s="28">
        <v>46213</v>
      </c>
      <c r="B152" s="29" t="s">
        <v>866</v>
      </c>
      <c r="D152" s="29" t="s">
        <v>1237</v>
      </c>
      <c r="F152" s="29" t="s">
        <v>1491</v>
      </c>
      <c r="I152" s="30" t="s">
        <v>1333</v>
      </c>
      <c r="J152" s="29" t="s">
        <v>1429</v>
      </c>
    </row>
    <row r="153" spans="1:11" x14ac:dyDescent="0.4">
      <c r="A153" s="28">
        <v>46213</v>
      </c>
      <c r="B153" s="29" t="s">
        <v>866</v>
      </c>
      <c r="D153" s="29" t="s">
        <v>202</v>
      </c>
      <c r="F153" s="29" t="s">
        <v>1484</v>
      </c>
      <c r="I153" s="30" t="s">
        <v>1333</v>
      </c>
      <c r="J153" s="29" t="s">
        <v>1430</v>
      </c>
      <c r="K153" s="28">
        <v>46216</v>
      </c>
    </row>
    <row r="154" spans="1:11" x14ac:dyDescent="0.4">
      <c r="A154" s="28">
        <v>46217</v>
      </c>
      <c r="B154" s="29" t="s">
        <v>866</v>
      </c>
      <c r="D154" s="29" t="s">
        <v>1238</v>
      </c>
      <c r="F154" s="29" t="s">
        <v>1491</v>
      </c>
      <c r="I154" s="30" t="s">
        <v>1333</v>
      </c>
      <c r="J154" s="29" t="s">
        <v>1431</v>
      </c>
    </row>
    <row r="155" spans="1:11" x14ac:dyDescent="0.4">
      <c r="A155" s="28">
        <v>46217</v>
      </c>
      <c r="B155" s="29" t="s">
        <v>866</v>
      </c>
      <c r="D155" s="29" t="s">
        <v>413</v>
      </c>
      <c r="F155" s="29" t="s">
        <v>1491</v>
      </c>
      <c r="I155" s="30" t="s">
        <v>1333</v>
      </c>
      <c r="J155" s="29" t="s">
        <v>1432</v>
      </c>
      <c r="K155" s="28">
        <v>46219</v>
      </c>
    </row>
    <row r="156" spans="1:11" x14ac:dyDescent="0.4">
      <c r="A156" s="28">
        <v>46218</v>
      </c>
      <c r="B156" s="29" t="s">
        <v>866</v>
      </c>
      <c r="D156" s="29" t="s">
        <v>1246</v>
      </c>
      <c r="F156" s="29" t="s">
        <v>1491</v>
      </c>
      <c r="I156" s="30" t="s">
        <v>1333</v>
      </c>
    </row>
    <row r="157" spans="1:11" x14ac:dyDescent="0.4">
      <c r="A157" s="28">
        <v>46219</v>
      </c>
      <c r="B157" s="29" t="s">
        <v>866</v>
      </c>
      <c r="D157" s="29" t="s">
        <v>1251</v>
      </c>
      <c r="F157" s="29" t="s">
        <v>1491</v>
      </c>
      <c r="I157" s="30" t="s">
        <v>1333</v>
      </c>
      <c r="J157" s="29" t="s">
        <v>1433</v>
      </c>
    </row>
    <row r="158" spans="1:11" x14ac:dyDescent="0.4">
      <c r="A158" s="28">
        <v>46219</v>
      </c>
      <c r="B158" s="29" t="s">
        <v>866</v>
      </c>
      <c r="D158" s="29" t="s">
        <v>1253</v>
      </c>
      <c r="F158" s="29" t="s">
        <v>1484</v>
      </c>
      <c r="I158" s="30" t="s">
        <v>1333</v>
      </c>
      <c r="J158" s="29" t="s">
        <v>1434</v>
      </c>
    </row>
    <row r="159" spans="1:11" x14ac:dyDescent="0.4">
      <c r="A159" s="28">
        <v>46219</v>
      </c>
      <c r="B159" s="29" t="s">
        <v>866</v>
      </c>
      <c r="D159" s="29" t="s">
        <v>1255</v>
      </c>
      <c r="F159" s="29" t="s">
        <v>1491</v>
      </c>
      <c r="I159" s="30" t="s">
        <v>1333</v>
      </c>
      <c r="J159" s="29" t="s">
        <v>1435</v>
      </c>
    </row>
    <row r="160" spans="1:11" x14ac:dyDescent="0.4">
      <c r="A160" s="28">
        <v>46219</v>
      </c>
      <c r="B160" s="29" t="s">
        <v>866</v>
      </c>
      <c r="D160" s="29" t="s">
        <v>112</v>
      </c>
      <c r="F160" s="29" t="s">
        <v>1487</v>
      </c>
      <c r="I160" s="30" t="s">
        <v>1308</v>
      </c>
      <c r="J160" s="29" t="s">
        <v>1436</v>
      </c>
    </row>
    <row r="161" spans="1:11" x14ac:dyDescent="0.4">
      <c r="A161" s="28">
        <v>46219</v>
      </c>
      <c r="B161" s="29" t="s">
        <v>866</v>
      </c>
      <c r="D161" s="29" t="s">
        <v>1259</v>
      </c>
      <c r="F161" s="29" t="s">
        <v>1491</v>
      </c>
      <c r="I161" s="30" t="s">
        <v>1333</v>
      </c>
      <c r="J161" s="29" t="s">
        <v>1437</v>
      </c>
    </row>
    <row r="162" spans="1:11" x14ac:dyDescent="0.4">
      <c r="A162" s="28">
        <v>46220</v>
      </c>
      <c r="B162" s="29" t="s">
        <v>866</v>
      </c>
      <c r="D162" s="29" t="s">
        <v>51</v>
      </c>
      <c r="F162" s="29" t="s">
        <v>1491</v>
      </c>
      <c r="I162" s="30" t="s">
        <v>1333</v>
      </c>
    </row>
    <row r="163" spans="1:11" x14ac:dyDescent="0.4">
      <c r="C163" s="47"/>
      <c r="D163" s="11" t="s">
        <v>1264</v>
      </c>
      <c r="E163" s="48"/>
      <c r="G163" s="48"/>
      <c r="H163" s="48"/>
    </row>
    <row r="164" spans="1:11" x14ac:dyDescent="0.4">
      <c r="C164" s="47"/>
      <c r="D164" s="11" t="s">
        <v>1269</v>
      </c>
      <c r="E164" s="48"/>
      <c r="G164" s="48"/>
      <c r="H164" s="48"/>
    </row>
    <row r="165" spans="1:11" x14ac:dyDescent="0.4">
      <c r="A165" s="28">
        <v>46220</v>
      </c>
      <c r="B165" s="29" t="s">
        <v>32</v>
      </c>
      <c r="D165" s="29" t="s">
        <v>1264</v>
      </c>
      <c r="F165" s="29" t="s">
        <v>1491</v>
      </c>
      <c r="I165" s="30" t="s">
        <v>1308</v>
      </c>
      <c r="K165" s="28">
        <v>46223</v>
      </c>
    </row>
    <row r="166" spans="1:11" ht="14.25" x14ac:dyDescent="0.45">
      <c r="A166" s="28">
        <v>46220</v>
      </c>
      <c r="B166" s="29" t="s">
        <v>32</v>
      </c>
      <c r="C166" s="47"/>
      <c r="D166" t="s">
        <v>1270</v>
      </c>
      <c r="E166"/>
      <c r="F166" s="29" t="s">
        <v>1491</v>
      </c>
      <c r="G166"/>
      <c r="H166"/>
      <c r="I166" s="30" t="s">
        <v>1333</v>
      </c>
      <c r="K166" s="28">
        <v>46223</v>
      </c>
    </row>
    <row r="167" spans="1:11" ht="14.25" x14ac:dyDescent="0.45">
      <c r="A167" s="28">
        <v>46220</v>
      </c>
      <c r="B167" s="29" t="s">
        <v>32</v>
      </c>
      <c r="C167" s="47"/>
      <c r="D167" t="s">
        <v>1271</v>
      </c>
      <c r="E167"/>
      <c r="F167" s="29" t="s">
        <v>1491</v>
      </c>
      <c r="G167"/>
      <c r="H167"/>
      <c r="I167" s="30" t="s">
        <v>1333</v>
      </c>
      <c r="K167" s="28">
        <v>46223</v>
      </c>
    </row>
    <row r="168" spans="1:11" ht="14.25" x14ac:dyDescent="0.45">
      <c r="A168" s="28">
        <v>46220</v>
      </c>
      <c r="B168" s="29" t="s">
        <v>32</v>
      </c>
      <c r="C168" s="47"/>
      <c r="D168" t="s">
        <v>1272</v>
      </c>
      <c r="E168"/>
      <c r="F168" s="29" t="s">
        <v>1491</v>
      </c>
      <c r="G168"/>
      <c r="H168"/>
      <c r="I168" s="30" t="s">
        <v>1308</v>
      </c>
      <c r="K168" s="28">
        <v>46223</v>
      </c>
    </row>
    <row r="169" spans="1:11" ht="14.25" x14ac:dyDescent="0.45">
      <c r="A169" s="28">
        <v>46220</v>
      </c>
      <c r="B169" s="29" t="s">
        <v>32</v>
      </c>
      <c r="C169" s="47"/>
      <c r="D169" t="s">
        <v>1273</v>
      </c>
      <c r="E169"/>
      <c r="F169" s="29" t="s">
        <v>1491</v>
      </c>
      <c r="G169"/>
      <c r="H169"/>
      <c r="I169" s="30" t="s">
        <v>1333</v>
      </c>
      <c r="K169" s="28">
        <v>46223</v>
      </c>
    </row>
    <row r="170" spans="1:11" ht="14.25" x14ac:dyDescent="0.45">
      <c r="A170" s="28">
        <v>46220</v>
      </c>
      <c r="B170" s="29" t="s">
        <v>32</v>
      </c>
      <c r="C170" s="47"/>
      <c r="D170" t="s">
        <v>1274</v>
      </c>
      <c r="E170"/>
      <c r="F170" s="29" t="s">
        <v>1491</v>
      </c>
      <c r="G170"/>
      <c r="H170"/>
      <c r="I170" s="30" t="s">
        <v>1333</v>
      </c>
      <c r="K170" s="28">
        <v>46223</v>
      </c>
    </row>
    <row r="171" spans="1:11" ht="14.25" x14ac:dyDescent="0.45">
      <c r="A171" s="28">
        <v>46220</v>
      </c>
      <c r="B171" s="29" t="s">
        <v>32</v>
      </c>
      <c r="C171" s="47"/>
      <c r="D171" t="s">
        <v>1275</v>
      </c>
      <c r="E171"/>
      <c r="F171" s="29" t="s">
        <v>1491</v>
      </c>
      <c r="G171"/>
      <c r="H171"/>
      <c r="I171" s="30" t="s">
        <v>1333</v>
      </c>
      <c r="K171" s="28">
        <v>46223</v>
      </c>
    </row>
    <row r="172" spans="1:11" ht="14.25" x14ac:dyDescent="0.45">
      <c r="A172" s="28">
        <v>46220</v>
      </c>
      <c r="B172" s="29" t="s">
        <v>32</v>
      </c>
      <c r="C172" s="47"/>
      <c r="D172" t="s">
        <v>1276</v>
      </c>
      <c r="E172"/>
      <c r="F172" s="29" t="s">
        <v>1491</v>
      </c>
      <c r="G172"/>
      <c r="H172"/>
      <c r="I172" s="30" t="s">
        <v>1333</v>
      </c>
      <c r="K172" s="28">
        <v>46223</v>
      </c>
    </row>
    <row r="173" spans="1:11" x14ac:dyDescent="0.4">
      <c r="A173" s="28">
        <v>46224</v>
      </c>
      <c r="D173" s="29" t="s">
        <v>1277</v>
      </c>
      <c r="F173" s="29" t="s">
        <v>1491</v>
      </c>
      <c r="I173" s="30" t="s">
        <v>1333</v>
      </c>
      <c r="J173" s="29" t="s">
        <v>1438</v>
      </c>
    </row>
    <row r="174" spans="1:11" x14ac:dyDescent="0.4">
      <c r="A174" s="28">
        <v>46224</v>
      </c>
      <c r="B174" s="29" t="s">
        <v>866</v>
      </c>
      <c r="D174" s="29" t="s">
        <v>1300</v>
      </c>
      <c r="F174" s="29" t="s">
        <v>1491</v>
      </c>
      <c r="I174" s="30" t="s">
        <v>1333</v>
      </c>
      <c r="J174" s="29" t="s">
        <v>1439</v>
      </c>
    </row>
    <row r="175" spans="1:11" x14ac:dyDescent="0.4">
      <c r="A175" s="28">
        <v>46224</v>
      </c>
      <c r="B175" s="29" t="s">
        <v>866</v>
      </c>
      <c r="D175" s="29" t="s">
        <v>1283</v>
      </c>
      <c r="F175" s="29" t="s">
        <v>1491</v>
      </c>
      <c r="I175" s="30" t="s">
        <v>1333</v>
      </c>
      <c r="J175" s="29" t="s">
        <v>1440</v>
      </c>
    </row>
    <row r="176" spans="1:11" x14ac:dyDescent="0.4">
      <c r="A176" s="28">
        <v>46224</v>
      </c>
      <c r="B176" s="29" t="s">
        <v>866</v>
      </c>
      <c r="D176" s="29" t="s">
        <v>1289</v>
      </c>
      <c r="F176" s="29" t="s">
        <v>1491</v>
      </c>
      <c r="I176" s="30" t="s">
        <v>1333</v>
      </c>
    </row>
    <row r="177" spans="1:10" x14ac:dyDescent="0.4">
      <c r="A177" s="28">
        <v>46224</v>
      </c>
      <c r="B177" s="29" t="s">
        <v>866</v>
      </c>
      <c r="D177" s="29" t="s">
        <v>1294</v>
      </c>
      <c r="F177" s="29" t="s">
        <v>1491</v>
      </c>
      <c r="I177" s="30" t="s">
        <v>1333</v>
      </c>
      <c r="J177" s="29" t="s">
        <v>1441</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F550975A-847A-4685-9E30-277619F19A34}">
          <x14:formula1>
            <xm:f>'SYS LST'!$C$1:$C$31</xm:f>
          </x14:formula1>
          <xm:sqref>I178:J1048576</xm:sqref>
        </x14:dataValidation>
        <x14:dataValidation type="list" allowBlank="1" showInputMessage="1" showErrorMessage="1" xr:uid="{24EEF7A3-FBEC-4DCD-86C8-BED0F71007DC}">
          <x14:formula1>
            <xm:f>'SYS LST'!$D$1:$D$31</xm:f>
          </x14:formula1>
          <xm:sqref>B178:C1048576</xm:sqref>
        </x14:dataValidation>
        <x14:dataValidation type="list" allowBlank="1" showInputMessage="1" showErrorMessage="1" xr:uid="{6F756837-20F8-4517-85FD-7757C51538E3}">
          <x14:formula1>
            <xm:f>'Client DB'!$A:$A</xm:f>
          </x14:formula1>
          <xm:sqref>D178:H1048576</xm:sqref>
        </x14:dataValidation>
        <x14:dataValidation type="list" allowBlank="1" showInputMessage="1" showErrorMessage="1" xr:uid="{3AF19B11-D031-4197-8D95-828B3D44AEDC}">
          <x14:formula1>
            <xm:f>'SYS LST'!$B$1:$B$31</xm:f>
          </x14:formula1>
          <xm:sqref>F178:F1048576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9FBFF-EAC1-4EE4-9E34-AC0DE4C33A7C}">
  <dimension ref="A1:F16"/>
  <sheetViews>
    <sheetView workbookViewId="0">
      <selection activeCell="E13" sqref="E13"/>
    </sheetView>
  </sheetViews>
  <sheetFormatPr defaultColWidth="8.73046875" defaultRowHeight="14.25" x14ac:dyDescent="0.45"/>
  <cols>
    <col min="1" max="2" width="17.1328125" style="18" customWidth="1"/>
    <col min="3" max="3" width="22.1328125" style="18" bestFit="1" customWidth="1"/>
    <col min="4" max="4" width="12" style="18" customWidth="1"/>
    <col min="5" max="5" width="25.59765625" customWidth="1"/>
    <col min="6" max="6" width="15.59765625" style="18" customWidth="1"/>
    <col min="7" max="16384" width="8.73046875" style="18"/>
  </cols>
  <sheetData>
    <row r="1" spans="1:6" x14ac:dyDescent="0.45">
      <c r="A1" s="18" t="s">
        <v>909</v>
      </c>
      <c r="B1" s="18" t="s">
        <v>1334</v>
      </c>
      <c r="C1" s="18" t="s">
        <v>1333</v>
      </c>
      <c r="D1" s="18" t="s">
        <v>1442</v>
      </c>
      <c r="E1" s="18" t="s">
        <v>1443</v>
      </c>
      <c r="F1" s="18" t="s">
        <v>700</v>
      </c>
    </row>
    <row r="2" spans="1:6" x14ac:dyDescent="0.45">
      <c r="A2" s="18" t="s">
        <v>1444</v>
      </c>
      <c r="B2" s="18" t="s">
        <v>1329</v>
      </c>
      <c r="C2" s="18" t="s">
        <v>1335</v>
      </c>
      <c r="D2" s="18" t="s">
        <v>32</v>
      </c>
      <c r="E2" s="18" t="s">
        <v>1445</v>
      </c>
      <c r="F2" s="18" t="s">
        <v>862</v>
      </c>
    </row>
    <row r="3" spans="1:6" x14ac:dyDescent="0.45">
      <c r="A3" s="18" t="s">
        <v>1446</v>
      </c>
      <c r="B3" s="18" t="s">
        <v>1318</v>
      </c>
      <c r="C3" s="18" t="s">
        <v>1313</v>
      </c>
      <c r="D3" s="18" t="s">
        <v>1447</v>
      </c>
      <c r="E3" s="18" t="s">
        <v>1448</v>
      </c>
    </row>
    <row r="4" spans="1:6" x14ac:dyDescent="0.45">
      <c r="A4" s="18" t="s">
        <v>1449</v>
      </c>
      <c r="B4" s="18" t="s">
        <v>1316</v>
      </c>
      <c r="C4" s="18" t="s">
        <v>1450</v>
      </c>
      <c r="D4" s="18" t="s">
        <v>863</v>
      </c>
      <c r="E4" s="18" t="s">
        <v>1451</v>
      </c>
    </row>
    <row r="5" spans="1:6" x14ac:dyDescent="0.45">
      <c r="A5" s="18" t="s">
        <v>1452</v>
      </c>
      <c r="B5" s="18" t="s">
        <v>1314</v>
      </c>
      <c r="C5" s="18" t="s">
        <v>1331</v>
      </c>
      <c r="D5" s="18" t="s">
        <v>1453</v>
      </c>
      <c r="E5" s="18" t="s">
        <v>1454</v>
      </c>
    </row>
    <row r="6" spans="1:6" x14ac:dyDescent="0.45">
      <c r="A6" s="18" t="s">
        <v>1455</v>
      </c>
      <c r="B6" s="18" t="s">
        <v>1456</v>
      </c>
      <c r="C6" s="18" t="s">
        <v>1308</v>
      </c>
      <c r="D6" s="18" t="s">
        <v>1457</v>
      </c>
      <c r="E6" s="18" t="s">
        <v>1325</v>
      </c>
    </row>
    <row r="7" spans="1:6" x14ac:dyDescent="0.45">
      <c r="A7" s="18" t="s">
        <v>1458</v>
      </c>
      <c r="B7" s="18" t="s">
        <v>1326</v>
      </c>
      <c r="C7" s="18" t="s">
        <v>1347</v>
      </c>
      <c r="D7" s="18" t="s">
        <v>866</v>
      </c>
      <c r="E7" s="18"/>
    </row>
    <row r="8" spans="1:6" x14ac:dyDescent="0.45">
      <c r="A8" s="18" t="s">
        <v>1459</v>
      </c>
      <c r="B8" s="18" t="s">
        <v>1309</v>
      </c>
      <c r="C8" s="18" t="s">
        <v>1460</v>
      </c>
      <c r="E8" s="18"/>
    </row>
    <row r="9" spans="1:6" x14ac:dyDescent="0.45">
      <c r="A9" s="18" t="s">
        <v>1461</v>
      </c>
      <c r="B9" s="18" t="s">
        <v>1320</v>
      </c>
      <c r="C9" s="18" t="s">
        <v>1328</v>
      </c>
      <c r="D9" s="18" t="s">
        <v>1462</v>
      </c>
      <c r="E9" s="18"/>
    </row>
    <row r="10" spans="1:6" x14ac:dyDescent="0.45">
      <c r="A10" s="18" t="s">
        <v>1463</v>
      </c>
      <c r="B10" s="18" t="s">
        <v>1312</v>
      </c>
      <c r="C10" s="18" t="s">
        <v>1311</v>
      </c>
      <c r="E10" s="18"/>
    </row>
    <row r="11" spans="1:6" x14ac:dyDescent="0.45">
      <c r="A11" s="18" t="s">
        <v>987</v>
      </c>
      <c r="C11" s="18" t="s">
        <v>1325</v>
      </c>
      <c r="E11" s="18"/>
    </row>
    <row r="12" spans="1:6" x14ac:dyDescent="0.45">
      <c r="A12" s="18" t="s">
        <v>818</v>
      </c>
      <c r="C12" s="18" t="s">
        <v>1464</v>
      </c>
      <c r="E12" s="18"/>
    </row>
    <row r="13" spans="1:6" x14ac:dyDescent="0.45">
      <c r="A13" s="18" t="s">
        <v>1465</v>
      </c>
      <c r="C13" s="18" t="s">
        <v>1466</v>
      </c>
      <c r="E13" s="18"/>
    </row>
    <row r="14" spans="1:6" x14ac:dyDescent="0.45">
      <c r="A14" s="18" t="s">
        <v>699</v>
      </c>
      <c r="C14" s="18" t="s">
        <v>1467</v>
      </c>
      <c r="E14" s="18"/>
    </row>
    <row r="15" spans="1:6" x14ac:dyDescent="0.45">
      <c r="A15" s="18" t="s">
        <v>1468</v>
      </c>
      <c r="C15" s="18" t="s">
        <v>1469</v>
      </c>
      <c r="E15" s="18"/>
    </row>
    <row r="16" spans="1:6" x14ac:dyDescent="0.45">
      <c r="A16" s="18" t="s">
        <v>1470</v>
      </c>
      <c r="E16"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D44F-5302-4D06-866C-E66EF0B181A8}">
  <dimension ref="A2:K20"/>
  <sheetViews>
    <sheetView showGridLines="0" workbookViewId="0">
      <selection activeCell="B22" sqref="B22"/>
    </sheetView>
  </sheetViews>
  <sheetFormatPr defaultColWidth="8.73046875" defaultRowHeight="14.25" x14ac:dyDescent="0.45"/>
  <cols>
    <col min="1" max="1" width="25.59765625" style="18" customWidth="1"/>
    <col min="2" max="8" width="12.59765625" style="18" customWidth="1"/>
    <col min="9" max="9" width="8.73046875" style="18"/>
    <col min="10" max="10" width="19.3984375" style="18" customWidth="1"/>
    <col min="11" max="16384" width="8.73046875" style="18"/>
  </cols>
  <sheetData>
    <row r="2" spans="1:11" x14ac:dyDescent="0.45">
      <c r="A2" s="18" t="s">
        <v>1471</v>
      </c>
      <c r="B2" s="43">
        <f>B3-(E2*7)</f>
        <v>45985</v>
      </c>
      <c r="C2" s="43"/>
      <c r="D2" s="18" t="s">
        <v>1472</v>
      </c>
      <c r="E2" s="32">
        <v>20</v>
      </c>
    </row>
    <row r="3" spans="1:11" x14ac:dyDescent="0.45">
      <c r="A3" s="18" t="s">
        <v>1473</v>
      </c>
      <c r="B3" s="44">
        <v>46125</v>
      </c>
      <c r="C3" s="44"/>
    </row>
    <row r="5" spans="1:11" s="21" customFormat="1" x14ac:dyDescent="0.45">
      <c r="A5" s="22" t="s">
        <v>1474</v>
      </c>
      <c r="B5" s="31" t="s">
        <v>1462</v>
      </c>
      <c r="C5" s="31" t="s">
        <v>1442</v>
      </c>
      <c r="D5" s="31" t="s">
        <v>32</v>
      </c>
      <c r="E5" s="31" t="s">
        <v>1447</v>
      </c>
      <c r="F5" s="31"/>
      <c r="G5" s="31"/>
      <c r="H5" s="31" t="s">
        <v>863</v>
      </c>
      <c r="J5" s="45" t="s">
        <v>1311</v>
      </c>
      <c r="K5" s="46"/>
    </row>
    <row r="6" spans="1:11" x14ac:dyDescent="0.45">
      <c r="A6" s="23" t="str">
        <f>'SYS LST'!C1</f>
        <v>COLD CALL</v>
      </c>
      <c r="B6" s="24">
        <f>COUNTIFS('Weekly Update'!$A:$A,"&gt;="&amp;SUMMARY!$B$2,'Weekly Update'!$A:$A,"&lt;="&amp;SUMMARY!$B$3,'Weekly Update'!$I:$I,A$6)</f>
        <v>0</v>
      </c>
      <c r="C6" s="24">
        <f>COUNTIFS('Weekly Update'!$A:$A,"&gt;="&amp;SUMMARY!$B$2,'Weekly Update'!$A:$A,"&lt;="&amp;SUMMARY!$B$3,'Weekly Update'!$I:$I,$A6,'Weekly Update'!$B:$B,SUMMARY!$C$5)</f>
        <v>0</v>
      </c>
      <c r="D6" s="24">
        <f>COUNTIFS('Weekly Update'!$A:$A,"&gt;="&amp;SUMMARY!$B$2,'Weekly Update'!$A:$A,"&lt;="&amp;SUMMARY!$B$3,'Weekly Update'!$I:$I,$A6,'Weekly Update'!$B:$B,SUMMARY!$D$5)</f>
        <v>0</v>
      </c>
      <c r="E6" s="24">
        <f>COUNTIFS('Weekly Update'!$A:$A,"&gt;="&amp;SUMMARY!$B$2,'Weekly Update'!$A:$A,"&lt;="&amp;SUMMARY!$B$3,'Weekly Update'!$I:$I,$A6,'Weekly Update'!$B:$B,SUMMARY!$E$5)</f>
        <v>0</v>
      </c>
      <c r="F6" s="24">
        <f>COUNTIFS('Weekly Update'!$A:$A,"&gt;="&amp;SUMMARY!$B$2,'Weekly Update'!$A:$A,"&lt;="&amp;SUMMARY!$B$3,'Weekly Update'!$I:$I,$A6,'Weekly Update'!$B:$B,SUMMARY!$F$5)</f>
        <v>0</v>
      </c>
      <c r="G6" s="24">
        <f>COUNTIFS('Weekly Update'!$A:$A,"&gt;="&amp;SUMMARY!$B$2,'Weekly Update'!$A:$A,"&lt;="&amp;SUMMARY!$B$3,'Weekly Update'!$I:$I,$A6,'Weekly Update'!$B:$B,SUMMARY!$G$5)</f>
        <v>0</v>
      </c>
      <c r="H6" s="24">
        <f>COUNTIFS('Weekly Update'!$A:$A,"&gt;="&amp;SUMMARY!$B$2,'Weekly Update'!$A:$A,"&lt;="&amp;SUMMARY!$B$3,'Weekly Update'!$I:$I,$A6,'Weekly Update'!$B:$B,SUMMARY!$H$5)</f>
        <v>0</v>
      </c>
      <c r="J6" s="23" t="s">
        <v>1334</v>
      </c>
      <c r="K6" s="24">
        <f>COUNTIFS('Weekly Update'!$A:$A,"&gt;="&amp;SUMMARY!$B$2,'Weekly Update'!$A:$A,"&lt;="&amp;SUMMARY!$B$3,'Weekly Update'!$I:$I,$J$5,'Weekly Update'!$F:$F,$J6)</f>
        <v>0</v>
      </c>
    </row>
    <row r="7" spans="1:11" x14ac:dyDescent="0.45">
      <c r="A7" s="23" t="str">
        <f>'SYS LST'!C2</f>
        <v>EMAIL BLAST</v>
      </c>
      <c r="B7" s="24">
        <f>COUNTIFS('Weekly Update'!$A:$A,"&gt;="&amp;SUMMARY!$B$2,'Weekly Update'!$A:$A,"&lt;="&amp;SUMMARY!$B$3,'Weekly Update'!$I:$I,A7)</f>
        <v>0</v>
      </c>
      <c r="C7" s="24">
        <f>COUNTIFS('Weekly Update'!$A:$A,"&gt;="&amp;SUMMARY!$B$2,'Weekly Update'!$A:$A,"&lt;="&amp;SUMMARY!$B$3,'Weekly Update'!$I:$I,$A7,'Weekly Update'!$B:$B,SUMMARY!$C$5)</f>
        <v>0</v>
      </c>
      <c r="D7" s="24">
        <f>COUNTIFS('Weekly Update'!$A:$A,"&gt;="&amp;SUMMARY!$B$2,'Weekly Update'!$A:$A,"&lt;="&amp;SUMMARY!$B$3,'Weekly Update'!$I:$I,$A7,'Weekly Update'!$B:$B,SUMMARY!$D$5)</f>
        <v>0</v>
      </c>
      <c r="E7" s="24">
        <f>COUNTIFS('Weekly Update'!$A:$A,"&gt;="&amp;SUMMARY!$B$2,'Weekly Update'!$A:$A,"&lt;="&amp;SUMMARY!$B$3,'Weekly Update'!$I:$I,$A7,'Weekly Update'!$B:$B,SUMMARY!$E$5)</f>
        <v>0</v>
      </c>
      <c r="F7" s="24">
        <f>COUNTIFS('Weekly Update'!$A:$A,"&gt;="&amp;SUMMARY!$B$2,'Weekly Update'!$A:$A,"&lt;="&amp;SUMMARY!$B$3,'Weekly Update'!$I:$I,$A7,'Weekly Update'!$B:$B,SUMMARY!$F$5)</f>
        <v>0</v>
      </c>
      <c r="G7" s="24">
        <f>COUNTIFS('Weekly Update'!$A:$A,"&gt;="&amp;SUMMARY!$B$2,'Weekly Update'!$A:$A,"&lt;="&amp;SUMMARY!$B$3,'Weekly Update'!$I:$I,$A7,'Weekly Update'!$B:$B,SUMMARY!$G$5)</f>
        <v>0</v>
      </c>
      <c r="H7" s="24">
        <f>COUNTIFS('Weekly Update'!$A:$A,"&gt;="&amp;SUMMARY!$B$2,'Weekly Update'!$A:$A,"&lt;="&amp;SUMMARY!$B$3,'Weekly Update'!$I:$I,$A7,'Weekly Update'!$B:$B,SUMMARY!$H$5)</f>
        <v>0</v>
      </c>
      <c r="J7" s="23" t="s">
        <v>1329</v>
      </c>
      <c r="K7" s="24">
        <f>COUNTIFS('Weekly Update'!$A:$A,"&gt;="&amp;SUMMARY!$B$2,'Weekly Update'!$A:$A,"&lt;="&amp;SUMMARY!$B$3,'Weekly Update'!$I:$I,$J$5,'Weekly Update'!$F:$F,$J7)</f>
        <v>0</v>
      </c>
    </row>
    <row r="8" spans="1:11" x14ac:dyDescent="0.45">
      <c r="A8" s="23" t="str">
        <f>'SYS LST'!C3</f>
        <v>FOLLOW UP CALL</v>
      </c>
      <c r="B8" s="24">
        <f>COUNTIFS('Weekly Update'!$A:$A,"&gt;="&amp;SUMMARY!$B$2,'Weekly Update'!$A:$A,"&lt;="&amp;SUMMARY!$B$3,'Weekly Update'!$I:$I,A8)</f>
        <v>10</v>
      </c>
      <c r="C8" s="24">
        <f>COUNTIFS('Weekly Update'!$A:$A,"&gt;="&amp;SUMMARY!$B$2,'Weekly Update'!$A:$A,"&lt;="&amp;SUMMARY!$B$3,'Weekly Update'!$I:$I,$A8,'Weekly Update'!$B:$B,SUMMARY!$C$5)</f>
        <v>0</v>
      </c>
      <c r="D8" s="24">
        <f>COUNTIFS('Weekly Update'!$A:$A,"&gt;="&amp;SUMMARY!$B$2,'Weekly Update'!$A:$A,"&lt;="&amp;SUMMARY!$B$3,'Weekly Update'!$I:$I,$A8,'Weekly Update'!$B:$B,SUMMARY!$D$5)</f>
        <v>10</v>
      </c>
      <c r="E8" s="24">
        <f>COUNTIFS('Weekly Update'!$A:$A,"&gt;="&amp;SUMMARY!$B$2,'Weekly Update'!$A:$A,"&lt;="&amp;SUMMARY!$B$3,'Weekly Update'!$I:$I,$A8,'Weekly Update'!$B:$B,SUMMARY!$E$5)</f>
        <v>0</v>
      </c>
      <c r="F8" s="24">
        <f>COUNTIFS('Weekly Update'!$A:$A,"&gt;="&amp;SUMMARY!$B$2,'Weekly Update'!$A:$A,"&lt;="&amp;SUMMARY!$B$3,'Weekly Update'!$I:$I,$A8,'Weekly Update'!$B:$B,SUMMARY!$F$5)</f>
        <v>0</v>
      </c>
      <c r="G8" s="24">
        <f>COUNTIFS('Weekly Update'!$A:$A,"&gt;="&amp;SUMMARY!$B$2,'Weekly Update'!$A:$A,"&lt;="&amp;SUMMARY!$B$3,'Weekly Update'!$I:$I,$A8,'Weekly Update'!$B:$B,SUMMARY!$G$5)</f>
        <v>0</v>
      </c>
      <c r="H8" s="24">
        <f>COUNTIFS('Weekly Update'!$A:$A,"&gt;="&amp;SUMMARY!$B$2,'Weekly Update'!$A:$A,"&lt;="&amp;SUMMARY!$B$3,'Weekly Update'!$I:$I,$A8,'Weekly Update'!$B:$B,SUMMARY!$H$5)</f>
        <v>0</v>
      </c>
      <c r="J8" s="23" t="s">
        <v>1318</v>
      </c>
      <c r="K8" s="24">
        <f>COUNTIFS('Weekly Update'!$A:$A,"&gt;="&amp;SUMMARY!$B$2,'Weekly Update'!$A:$A,"&lt;="&amp;SUMMARY!$B$3,'Weekly Update'!$I:$I,$J$5,'Weekly Update'!$F:$F,$J8)</f>
        <v>0</v>
      </c>
    </row>
    <row r="9" spans="1:11" x14ac:dyDescent="0.45">
      <c r="A9" s="23" t="str">
        <f>'SYS LST'!C4</f>
        <v>FOLLOW UP EMAIL</v>
      </c>
      <c r="B9" s="24">
        <f>COUNTIFS('Weekly Update'!$A:$A,"&gt;="&amp;SUMMARY!$B$2,'Weekly Update'!$A:$A,"&lt;="&amp;SUMMARY!$B$3,'Weekly Update'!$I:$I,A9)</f>
        <v>0</v>
      </c>
      <c r="C9" s="24">
        <f>COUNTIFS('Weekly Update'!$A:$A,"&gt;="&amp;SUMMARY!$B$2,'Weekly Update'!$A:$A,"&lt;="&amp;SUMMARY!$B$3,'Weekly Update'!$I:$I,$A9,'Weekly Update'!$B:$B,SUMMARY!$C$5)</f>
        <v>0</v>
      </c>
      <c r="D9" s="24">
        <f>COUNTIFS('Weekly Update'!$A:$A,"&gt;="&amp;SUMMARY!$B$2,'Weekly Update'!$A:$A,"&lt;="&amp;SUMMARY!$B$3,'Weekly Update'!$I:$I,$A9,'Weekly Update'!$B:$B,SUMMARY!$D$5)</f>
        <v>0</v>
      </c>
      <c r="E9" s="24">
        <f>COUNTIFS('Weekly Update'!$A:$A,"&gt;="&amp;SUMMARY!$B$2,'Weekly Update'!$A:$A,"&lt;="&amp;SUMMARY!$B$3,'Weekly Update'!$I:$I,$A9,'Weekly Update'!$B:$B,SUMMARY!$E$5)</f>
        <v>0</v>
      </c>
      <c r="F9" s="24">
        <f>COUNTIFS('Weekly Update'!$A:$A,"&gt;="&amp;SUMMARY!$B$2,'Weekly Update'!$A:$A,"&lt;="&amp;SUMMARY!$B$3,'Weekly Update'!$I:$I,$A9,'Weekly Update'!$B:$B,SUMMARY!$F$5)</f>
        <v>0</v>
      </c>
      <c r="G9" s="24">
        <f>COUNTIFS('Weekly Update'!$A:$A,"&gt;="&amp;SUMMARY!$B$2,'Weekly Update'!$A:$A,"&lt;="&amp;SUMMARY!$B$3,'Weekly Update'!$I:$I,$A9,'Weekly Update'!$B:$B,SUMMARY!$G$5)</f>
        <v>0</v>
      </c>
      <c r="H9" s="24">
        <f>COUNTIFS('Weekly Update'!$A:$A,"&gt;="&amp;SUMMARY!$B$2,'Weekly Update'!$A:$A,"&lt;="&amp;SUMMARY!$B$3,'Weekly Update'!$I:$I,$A9,'Weekly Update'!$B:$B,SUMMARY!$H$5)</f>
        <v>0</v>
      </c>
      <c r="J9" s="23" t="s">
        <v>1475</v>
      </c>
      <c r="K9" s="24">
        <f>COUNTIFS('Weekly Update'!$A:$A,"&gt;="&amp;SUMMARY!$B$2,'Weekly Update'!$A:$A,"&lt;="&amp;SUMMARY!$B$3,'Weekly Update'!$I:$I,$J$5,'Weekly Update'!$F:$F,$J9)</f>
        <v>0</v>
      </c>
    </row>
    <row r="10" spans="1:11" x14ac:dyDescent="0.45">
      <c r="A10" s="23" t="str">
        <f>'SYS LST'!C5</f>
        <v>SALES MEETING</v>
      </c>
      <c r="B10" s="24">
        <f>COUNTIFS('Weekly Update'!$A:$A,"&gt;="&amp;SUMMARY!$B$2,'Weekly Update'!$A:$A,"&lt;="&amp;SUMMARY!$B$3,'Weekly Update'!$I:$I,A10)</f>
        <v>0</v>
      </c>
      <c r="C10" s="24">
        <f>COUNTIFS('Weekly Update'!$A:$A,"&gt;="&amp;SUMMARY!$B$2,'Weekly Update'!$A:$A,"&lt;="&amp;SUMMARY!$B$3,'Weekly Update'!$I:$I,$A10,'Weekly Update'!$B:$B,SUMMARY!$C$5)</f>
        <v>0</v>
      </c>
      <c r="D10" s="24">
        <f>COUNTIFS('Weekly Update'!$A:$A,"&gt;="&amp;SUMMARY!$B$2,'Weekly Update'!$A:$A,"&lt;="&amp;SUMMARY!$B$3,'Weekly Update'!$I:$I,$A10,'Weekly Update'!$B:$B,SUMMARY!$D$5)</f>
        <v>0</v>
      </c>
      <c r="E10" s="24">
        <f>COUNTIFS('Weekly Update'!$A:$A,"&gt;="&amp;SUMMARY!$B$2,'Weekly Update'!$A:$A,"&lt;="&amp;SUMMARY!$B$3,'Weekly Update'!$I:$I,$A10,'Weekly Update'!$B:$B,SUMMARY!$E$5)</f>
        <v>0</v>
      </c>
      <c r="F10" s="24">
        <f>COUNTIFS('Weekly Update'!$A:$A,"&gt;="&amp;SUMMARY!$B$2,'Weekly Update'!$A:$A,"&lt;="&amp;SUMMARY!$B$3,'Weekly Update'!$I:$I,$A10,'Weekly Update'!$B:$B,SUMMARY!$F$5)</f>
        <v>0</v>
      </c>
      <c r="G10" s="24">
        <f>COUNTIFS('Weekly Update'!$A:$A,"&gt;="&amp;SUMMARY!$B$2,'Weekly Update'!$A:$A,"&lt;="&amp;SUMMARY!$B$3,'Weekly Update'!$I:$I,$A10,'Weekly Update'!$B:$B,SUMMARY!$G$5)</f>
        <v>0</v>
      </c>
      <c r="H10" s="24">
        <f>COUNTIFS('Weekly Update'!$A:$A,"&gt;="&amp;SUMMARY!$B$2,'Weekly Update'!$A:$A,"&lt;="&amp;SUMMARY!$B$3,'Weekly Update'!$I:$I,$A10,'Weekly Update'!$B:$B,SUMMARY!$H$5)</f>
        <v>0</v>
      </c>
      <c r="J10" s="23" t="s">
        <v>1476</v>
      </c>
      <c r="K10" s="24">
        <f>COUNTIFS('Weekly Update'!$A:$A,"&gt;="&amp;SUMMARY!$B$2,'Weekly Update'!$A:$A,"&lt;="&amp;SUMMARY!$B$3,'Weekly Update'!$I:$I,$J$5,'Weekly Update'!$F:$F,$J10)</f>
        <v>0</v>
      </c>
    </row>
    <row r="11" spans="1:11" x14ac:dyDescent="0.45">
      <c r="A11" s="23" t="str">
        <f>'SYS LST'!C6</f>
        <v>FOLLOW UP MEETING</v>
      </c>
      <c r="B11" s="24">
        <f>COUNTIFS('Weekly Update'!$A:$A,"&gt;="&amp;SUMMARY!$B$2,'Weekly Update'!$A:$A,"&lt;="&amp;SUMMARY!$B$3,'Weekly Update'!$I:$I,A11)</f>
        <v>2</v>
      </c>
      <c r="C11" s="24">
        <f>COUNTIFS('Weekly Update'!$A:$A,"&gt;="&amp;SUMMARY!$B$2,'Weekly Update'!$A:$A,"&lt;="&amp;SUMMARY!$B$3,'Weekly Update'!$I:$I,$A11,'Weekly Update'!$B:$B,SUMMARY!$C$5)</f>
        <v>0</v>
      </c>
      <c r="D11" s="24">
        <f>COUNTIFS('Weekly Update'!$A:$A,"&gt;="&amp;SUMMARY!$B$2,'Weekly Update'!$A:$A,"&lt;="&amp;SUMMARY!$B$3,'Weekly Update'!$I:$I,$A11,'Weekly Update'!$B:$B,SUMMARY!$D$5)</f>
        <v>2</v>
      </c>
      <c r="E11" s="24">
        <f>COUNTIFS('Weekly Update'!$A:$A,"&gt;="&amp;SUMMARY!$B$2,'Weekly Update'!$A:$A,"&lt;="&amp;SUMMARY!$B$3,'Weekly Update'!$I:$I,$A11,'Weekly Update'!$B:$B,SUMMARY!$E$5)</f>
        <v>0</v>
      </c>
      <c r="F11" s="24">
        <f>COUNTIFS('Weekly Update'!$A:$A,"&gt;="&amp;SUMMARY!$B$2,'Weekly Update'!$A:$A,"&lt;="&amp;SUMMARY!$B$3,'Weekly Update'!$I:$I,$A11,'Weekly Update'!$B:$B,SUMMARY!$F$5)</f>
        <v>0</v>
      </c>
      <c r="G11" s="24">
        <f>COUNTIFS('Weekly Update'!$A:$A,"&gt;="&amp;SUMMARY!$B$2,'Weekly Update'!$A:$A,"&lt;="&amp;SUMMARY!$B$3,'Weekly Update'!$I:$I,$A11,'Weekly Update'!$B:$B,SUMMARY!$G$5)</f>
        <v>0</v>
      </c>
      <c r="H11" s="24">
        <f>COUNTIFS('Weekly Update'!$A:$A,"&gt;="&amp;SUMMARY!$B$2,'Weekly Update'!$A:$A,"&lt;="&amp;SUMMARY!$B$3,'Weekly Update'!$I:$I,$A11,'Weekly Update'!$B:$B,SUMMARY!$H$5)</f>
        <v>0</v>
      </c>
      <c r="J11" s="23" t="s">
        <v>1456</v>
      </c>
      <c r="K11" s="24">
        <f>COUNTIFS('Weekly Update'!$A:$A,"&gt;="&amp;SUMMARY!$B$2,'Weekly Update'!$A:$A,"&lt;="&amp;SUMMARY!$B$3,'Weekly Update'!$I:$I,$J$5,'Weekly Update'!$F:$F,$J11)</f>
        <v>0</v>
      </c>
    </row>
    <row r="12" spans="1:11" x14ac:dyDescent="0.45">
      <c r="A12" s="23" t="str">
        <f>'SYS LST'!C7</f>
        <v>DEMO</v>
      </c>
      <c r="B12" s="24">
        <f>COUNTIFS('Weekly Update'!$A:$A,"&gt;="&amp;SUMMARY!$B$2,'Weekly Update'!$A:$A,"&lt;="&amp;SUMMARY!$B$3,'Weekly Update'!$I:$I,A12)</f>
        <v>0</v>
      </c>
      <c r="C12" s="24">
        <f>COUNTIFS('Weekly Update'!$A:$A,"&gt;="&amp;SUMMARY!$B$2,'Weekly Update'!$A:$A,"&lt;="&amp;SUMMARY!$B$3,'Weekly Update'!$I:$I,$A12,'Weekly Update'!$B:$B,SUMMARY!$C$5)</f>
        <v>0</v>
      </c>
      <c r="D12" s="24">
        <f>COUNTIFS('Weekly Update'!$A:$A,"&gt;="&amp;SUMMARY!$B$2,'Weekly Update'!$A:$A,"&lt;="&amp;SUMMARY!$B$3,'Weekly Update'!$I:$I,$A12,'Weekly Update'!$B:$B,SUMMARY!$D$5)</f>
        <v>0</v>
      </c>
      <c r="E12" s="24">
        <f>COUNTIFS('Weekly Update'!$A:$A,"&gt;="&amp;SUMMARY!$B$2,'Weekly Update'!$A:$A,"&lt;="&amp;SUMMARY!$B$3,'Weekly Update'!$I:$I,$A12,'Weekly Update'!$B:$B,SUMMARY!$E$5)</f>
        <v>0</v>
      </c>
      <c r="F12" s="24">
        <f>COUNTIFS('Weekly Update'!$A:$A,"&gt;="&amp;SUMMARY!$B$2,'Weekly Update'!$A:$A,"&lt;="&amp;SUMMARY!$B$3,'Weekly Update'!$I:$I,$A12,'Weekly Update'!$B:$B,SUMMARY!$F$5)</f>
        <v>0</v>
      </c>
      <c r="G12" s="24">
        <f>COUNTIFS('Weekly Update'!$A:$A,"&gt;="&amp;SUMMARY!$B$2,'Weekly Update'!$A:$A,"&lt;="&amp;SUMMARY!$B$3,'Weekly Update'!$I:$I,$A12,'Weekly Update'!$B:$B,SUMMARY!$G$5)</f>
        <v>0</v>
      </c>
      <c r="H12" s="24">
        <f>COUNTIFS('Weekly Update'!$A:$A,"&gt;="&amp;SUMMARY!$B$2,'Weekly Update'!$A:$A,"&lt;="&amp;SUMMARY!$B$3,'Weekly Update'!$I:$I,$A12,'Weekly Update'!$B:$B,SUMMARY!$H$5)</f>
        <v>0</v>
      </c>
      <c r="J12" s="23" t="s">
        <v>1326</v>
      </c>
      <c r="K12" s="24">
        <f>COUNTIFS('Weekly Update'!$A:$A,"&gt;="&amp;SUMMARY!$B$2,'Weekly Update'!$A:$A,"&lt;="&amp;SUMMARY!$B$3,'Weekly Update'!$I:$I,$J$5,'Weekly Update'!$F:$F,$J12)</f>
        <v>0</v>
      </c>
    </row>
    <row r="13" spans="1:11" x14ac:dyDescent="0.45">
      <c r="A13" s="23" t="str">
        <f>'SYS LST'!C8</f>
        <v>ONLINE PRESENTATION</v>
      </c>
      <c r="B13" s="24">
        <f>COUNTIFS('Weekly Update'!$A:$A,"&gt;="&amp;SUMMARY!$B$2,'Weekly Update'!$A:$A,"&lt;="&amp;SUMMARY!$B$3,'Weekly Update'!$I:$I,A13)</f>
        <v>0</v>
      </c>
      <c r="C13" s="24">
        <f>COUNTIFS('Weekly Update'!$A:$A,"&gt;="&amp;SUMMARY!$B$2,'Weekly Update'!$A:$A,"&lt;="&amp;SUMMARY!$B$3,'Weekly Update'!$I:$I,$A13,'Weekly Update'!$B:$B,SUMMARY!$C$5)</f>
        <v>0</v>
      </c>
      <c r="D13" s="24">
        <f>COUNTIFS('Weekly Update'!$A:$A,"&gt;="&amp;SUMMARY!$B$2,'Weekly Update'!$A:$A,"&lt;="&amp;SUMMARY!$B$3,'Weekly Update'!$I:$I,$A13,'Weekly Update'!$B:$B,SUMMARY!$D$5)</f>
        <v>0</v>
      </c>
      <c r="E13" s="24">
        <f>COUNTIFS('Weekly Update'!$A:$A,"&gt;="&amp;SUMMARY!$B$2,'Weekly Update'!$A:$A,"&lt;="&amp;SUMMARY!$B$3,'Weekly Update'!$I:$I,$A13,'Weekly Update'!$B:$B,SUMMARY!$E$5)</f>
        <v>0</v>
      </c>
      <c r="F13" s="24">
        <f>COUNTIFS('Weekly Update'!$A:$A,"&gt;="&amp;SUMMARY!$B$2,'Weekly Update'!$A:$A,"&lt;="&amp;SUMMARY!$B$3,'Weekly Update'!$I:$I,$A13,'Weekly Update'!$B:$B,SUMMARY!$F$5)</f>
        <v>0</v>
      </c>
      <c r="G13" s="24">
        <f>COUNTIFS('Weekly Update'!$A:$A,"&gt;="&amp;SUMMARY!$B$2,'Weekly Update'!$A:$A,"&lt;="&amp;SUMMARY!$B$3,'Weekly Update'!$I:$I,$A13,'Weekly Update'!$B:$B,SUMMARY!$G$5)</f>
        <v>0</v>
      </c>
      <c r="H13" s="24">
        <f>COUNTIFS('Weekly Update'!$A:$A,"&gt;="&amp;SUMMARY!$B$2,'Weekly Update'!$A:$A,"&lt;="&amp;SUMMARY!$B$3,'Weekly Update'!$I:$I,$A13,'Weekly Update'!$B:$B,SUMMARY!$H$5)</f>
        <v>0</v>
      </c>
      <c r="J13" s="23" t="s">
        <v>1309</v>
      </c>
      <c r="K13" s="24">
        <f>COUNTIFS('Weekly Update'!$A:$A,"&gt;="&amp;SUMMARY!$B$2,'Weekly Update'!$A:$A,"&lt;="&amp;SUMMARY!$B$3,'Weekly Update'!$I:$I,$J$5,'Weekly Update'!$F:$F,$J13)</f>
        <v>0</v>
      </c>
    </row>
    <row r="14" spans="1:11" x14ac:dyDescent="0.45">
      <c r="A14" s="23" t="str">
        <f>'SYS LST'!C9</f>
        <v>OFFLINE PRESENTATION</v>
      </c>
      <c r="B14" s="24">
        <f>COUNTIFS('Weekly Update'!$A:$A,"&gt;="&amp;SUMMARY!$B$2,'Weekly Update'!$A:$A,"&lt;="&amp;SUMMARY!$B$3,'Weekly Update'!$I:$I,A14)</f>
        <v>1</v>
      </c>
      <c r="C14" s="24">
        <f>COUNTIFS('Weekly Update'!$A:$A,"&gt;="&amp;SUMMARY!$B$2,'Weekly Update'!$A:$A,"&lt;="&amp;SUMMARY!$B$3,'Weekly Update'!$I:$I,$A14,'Weekly Update'!$B:$B,SUMMARY!$C$5)</f>
        <v>0</v>
      </c>
      <c r="D14" s="24">
        <f>COUNTIFS('Weekly Update'!$A:$A,"&gt;="&amp;SUMMARY!$B$2,'Weekly Update'!$A:$A,"&lt;="&amp;SUMMARY!$B$3,'Weekly Update'!$I:$I,$A14,'Weekly Update'!$B:$B,SUMMARY!$D$5)</f>
        <v>0</v>
      </c>
      <c r="E14" s="24">
        <f>COUNTIFS('Weekly Update'!$A:$A,"&gt;="&amp;SUMMARY!$B$2,'Weekly Update'!$A:$A,"&lt;="&amp;SUMMARY!$B$3,'Weekly Update'!$I:$I,$A14,'Weekly Update'!$B:$B,SUMMARY!$E$5)</f>
        <v>0</v>
      </c>
      <c r="F14" s="24">
        <f>COUNTIFS('Weekly Update'!$A:$A,"&gt;="&amp;SUMMARY!$B$2,'Weekly Update'!$A:$A,"&lt;="&amp;SUMMARY!$B$3,'Weekly Update'!$I:$I,$A14,'Weekly Update'!$B:$B,SUMMARY!$F$5)</f>
        <v>0</v>
      </c>
      <c r="G14" s="24">
        <f>COUNTIFS('Weekly Update'!$A:$A,"&gt;="&amp;SUMMARY!$B$2,'Weekly Update'!$A:$A,"&lt;="&amp;SUMMARY!$B$3,'Weekly Update'!$I:$I,$A14,'Weekly Update'!$B:$B,SUMMARY!$G$5)</f>
        <v>0</v>
      </c>
      <c r="H14" s="24">
        <f>COUNTIFS('Weekly Update'!$A:$A,"&gt;="&amp;SUMMARY!$B$2,'Weekly Update'!$A:$A,"&lt;="&amp;SUMMARY!$B$3,'Weekly Update'!$I:$I,$A14,'Weekly Update'!$B:$B,SUMMARY!$H$5)</f>
        <v>1</v>
      </c>
      <c r="J14" s="23" t="s">
        <v>1320</v>
      </c>
      <c r="K14" s="24">
        <f>COUNTIFS('Weekly Update'!$A:$A,"&gt;="&amp;SUMMARY!$B$2,'Weekly Update'!$A:$A,"&lt;="&amp;SUMMARY!$B$3,'Weekly Update'!$I:$I,$J$5,'Weekly Update'!$F:$F,$J14)</f>
        <v>0</v>
      </c>
    </row>
    <row r="15" spans="1:11" x14ac:dyDescent="0.45">
      <c r="A15" s="23" t="str">
        <f>'SYS LST'!C10</f>
        <v>STATUS UPDATE</v>
      </c>
      <c r="B15" s="24">
        <f>COUNTIFS('Weekly Update'!$A:$A,"&gt;="&amp;SUMMARY!$B$2,'Weekly Update'!$A:$A,"&lt;="&amp;SUMMARY!$B$3,'Weekly Update'!$I:$I,A15)</f>
        <v>1</v>
      </c>
      <c r="C15" s="24">
        <f>COUNTIFS('Weekly Update'!$A:$A,"&gt;="&amp;SUMMARY!$B$2,'Weekly Update'!$A:$A,"&lt;="&amp;SUMMARY!$B$3,'Weekly Update'!$I:$I,$A15,'Weekly Update'!$B:$B,SUMMARY!$C$5)</f>
        <v>0</v>
      </c>
      <c r="D15" s="24">
        <f>COUNTIFS('Weekly Update'!$A:$A,"&gt;="&amp;SUMMARY!$B$2,'Weekly Update'!$A:$A,"&lt;="&amp;SUMMARY!$B$3,'Weekly Update'!$I:$I,$A15,'Weekly Update'!$B:$B,SUMMARY!$D$5)</f>
        <v>1</v>
      </c>
      <c r="E15" s="24">
        <f>COUNTIFS('Weekly Update'!$A:$A,"&gt;="&amp;SUMMARY!$B$2,'Weekly Update'!$A:$A,"&lt;="&amp;SUMMARY!$B$3,'Weekly Update'!$I:$I,$A15,'Weekly Update'!$B:$B,SUMMARY!$E$5)</f>
        <v>0</v>
      </c>
      <c r="F15" s="24">
        <f>COUNTIFS('Weekly Update'!$A:$A,"&gt;="&amp;SUMMARY!$B$2,'Weekly Update'!$A:$A,"&lt;="&amp;SUMMARY!$B$3,'Weekly Update'!$I:$I,$A15,'Weekly Update'!$B:$B,SUMMARY!$F$5)</f>
        <v>0</v>
      </c>
      <c r="G15" s="24">
        <f>COUNTIFS('Weekly Update'!$A:$A,"&gt;="&amp;SUMMARY!$B$2,'Weekly Update'!$A:$A,"&lt;="&amp;SUMMARY!$B$3,'Weekly Update'!$I:$I,$A15,'Weekly Update'!$B:$B,SUMMARY!$G$5)</f>
        <v>0</v>
      </c>
      <c r="H15" s="24">
        <f>COUNTIFS('Weekly Update'!$A:$A,"&gt;="&amp;SUMMARY!$B$2,'Weekly Update'!$A:$A,"&lt;="&amp;SUMMARY!$B$3,'Weekly Update'!$I:$I,$A15,'Weekly Update'!$B:$B,SUMMARY!$H$5)</f>
        <v>0</v>
      </c>
      <c r="J15" s="23" t="s">
        <v>1312</v>
      </c>
      <c r="K15" s="24">
        <f>COUNTIFS('Weekly Update'!$A:$A,"&gt;="&amp;SUMMARY!$B$2,'Weekly Update'!$A:$A,"&lt;="&amp;SUMMARY!$B$3,'Weekly Update'!$I:$I,$J$5,'Weekly Update'!$F:$F,$J15)</f>
        <v>0</v>
      </c>
    </row>
    <row r="16" spans="1:11" x14ac:dyDescent="0.45">
      <c r="A16" s="23" t="str">
        <f>'SYS LST'!C11</f>
        <v>TRAINING</v>
      </c>
      <c r="B16" s="24">
        <f>COUNTIFS('Weekly Update'!$A:$A,"&gt;="&amp;SUMMARY!$B$2,'Weekly Update'!$A:$A,"&lt;="&amp;SUMMARY!$B$3,'Weekly Update'!$I:$I,A16)</f>
        <v>1</v>
      </c>
      <c r="C16" s="24">
        <f>COUNTIFS('Weekly Update'!$A:$A,"&gt;="&amp;SUMMARY!$B$2,'Weekly Update'!$A:$A,"&lt;="&amp;SUMMARY!$B$3,'Weekly Update'!$I:$I,$A16,'Weekly Update'!$B:$B,SUMMARY!$C$5)</f>
        <v>0</v>
      </c>
      <c r="D16" s="24">
        <f>COUNTIFS('Weekly Update'!$A:$A,"&gt;="&amp;SUMMARY!$B$2,'Weekly Update'!$A:$A,"&lt;="&amp;SUMMARY!$B$3,'Weekly Update'!$I:$I,$A16,'Weekly Update'!$B:$B,SUMMARY!$D$5)</f>
        <v>1</v>
      </c>
      <c r="E16" s="24">
        <f>COUNTIFS('Weekly Update'!$A:$A,"&gt;="&amp;SUMMARY!$B$2,'Weekly Update'!$A:$A,"&lt;="&amp;SUMMARY!$B$3,'Weekly Update'!$I:$I,$A16,'Weekly Update'!$B:$B,SUMMARY!$E$5)</f>
        <v>0</v>
      </c>
      <c r="F16" s="24">
        <f>COUNTIFS('Weekly Update'!$A:$A,"&gt;="&amp;SUMMARY!$B$2,'Weekly Update'!$A:$A,"&lt;="&amp;SUMMARY!$B$3,'Weekly Update'!$I:$I,$A16,'Weekly Update'!$B:$B,SUMMARY!$F$5)</f>
        <v>0</v>
      </c>
      <c r="G16" s="24">
        <f>COUNTIFS('Weekly Update'!$A:$A,"&gt;="&amp;SUMMARY!$B$2,'Weekly Update'!$A:$A,"&lt;="&amp;SUMMARY!$B$3,'Weekly Update'!$I:$I,$A16,'Weekly Update'!$B:$B,SUMMARY!$G$5)</f>
        <v>0</v>
      </c>
      <c r="H16" s="24">
        <f>COUNTIFS('Weekly Update'!$A:$A,"&gt;="&amp;SUMMARY!$B$2,'Weekly Update'!$A:$A,"&lt;="&amp;SUMMARY!$B$3,'Weekly Update'!$I:$I,$A16,'Weekly Update'!$B:$B,SUMMARY!$H$5)</f>
        <v>0</v>
      </c>
    </row>
    <row r="17" spans="1:8" x14ac:dyDescent="0.45">
      <c r="A17" s="23" t="str">
        <f>'SYS LST'!C12</f>
        <v>POST MEETING</v>
      </c>
      <c r="B17" s="24">
        <f>COUNTIFS('Weekly Update'!$A:$A,"&gt;="&amp;SUMMARY!$B$2,'Weekly Update'!$A:$A,"&lt;="&amp;SUMMARY!$B$3,'Weekly Update'!$I:$I,A17)</f>
        <v>0</v>
      </c>
      <c r="C17" s="24">
        <f>COUNTIFS('Weekly Update'!$A:$A,"&gt;="&amp;SUMMARY!$B$2,'Weekly Update'!$A:$A,"&lt;="&amp;SUMMARY!$B$3,'Weekly Update'!$I:$I,$A17,'Weekly Update'!$B:$B,SUMMARY!$C$5)</f>
        <v>0</v>
      </c>
      <c r="D17" s="24">
        <f>COUNTIFS('Weekly Update'!$A:$A,"&gt;="&amp;SUMMARY!$B$2,'Weekly Update'!$A:$A,"&lt;="&amp;SUMMARY!$B$3,'Weekly Update'!$I:$I,$A17,'Weekly Update'!$B:$B,SUMMARY!$D$5)</f>
        <v>0</v>
      </c>
      <c r="E17" s="24">
        <f>COUNTIFS('Weekly Update'!$A:$A,"&gt;="&amp;SUMMARY!$B$2,'Weekly Update'!$A:$A,"&lt;="&amp;SUMMARY!$B$3,'Weekly Update'!$I:$I,$A17,'Weekly Update'!$B:$B,SUMMARY!$E$5)</f>
        <v>0</v>
      </c>
      <c r="F17" s="24">
        <f>COUNTIFS('Weekly Update'!$A:$A,"&gt;="&amp;SUMMARY!$B$2,'Weekly Update'!$A:$A,"&lt;="&amp;SUMMARY!$B$3,'Weekly Update'!$I:$I,$A17,'Weekly Update'!$B:$B,SUMMARY!$F$5)</f>
        <v>0</v>
      </c>
      <c r="G17" s="24">
        <f>COUNTIFS('Weekly Update'!$A:$A,"&gt;="&amp;SUMMARY!$B$2,'Weekly Update'!$A:$A,"&lt;="&amp;SUMMARY!$B$3,'Weekly Update'!$I:$I,$A17,'Weekly Update'!$B:$B,SUMMARY!$G$5)</f>
        <v>0</v>
      </c>
      <c r="H17" s="24">
        <f>COUNTIFS('Weekly Update'!$A:$A,"&gt;="&amp;SUMMARY!$B$2,'Weekly Update'!$A:$A,"&lt;="&amp;SUMMARY!$B$3,'Weekly Update'!$I:$I,$A17,'Weekly Update'!$B:$B,SUMMARY!$H$5)</f>
        <v>0</v>
      </c>
    </row>
    <row r="18" spans="1:8" x14ac:dyDescent="0.45">
      <c r="A18" s="23" t="str">
        <f>'SYS LST'!C13</f>
        <v>REGULAR CATCH UP</v>
      </c>
      <c r="B18" s="24">
        <f>COUNTIFS('Weekly Update'!$A:$A,"&gt;="&amp;SUMMARY!$B$2,'Weekly Update'!$A:$A,"&lt;="&amp;SUMMARY!$B$3,'Weekly Update'!$I:$I,A18)</f>
        <v>0</v>
      </c>
      <c r="C18" s="24">
        <f>COUNTIFS('Weekly Update'!$A:$A,"&gt;="&amp;SUMMARY!$B$2,'Weekly Update'!$A:$A,"&lt;="&amp;SUMMARY!$B$3,'Weekly Update'!$I:$I,$A18,'Weekly Update'!$B:$B,SUMMARY!$C$5)</f>
        <v>0</v>
      </c>
      <c r="D18" s="24">
        <f>COUNTIFS('Weekly Update'!$A:$A,"&gt;="&amp;SUMMARY!$B$2,'Weekly Update'!$A:$A,"&lt;="&amp;SUMMARY!$B$3,'Weekly Update'!$I:$I,$A18,'Weekly Update'!$B:$B,SUMMARY!$D$5)</f>
        <v>0</v>
      </c>
      <c r="E18" s="24">
        <f>COUNTIFS('Weekly Update'!$A:$A,"&gt;="&amp;SUMMARY!$B$2,'Weekly Update'!$A:$A,"&lt;="&amp;SUMMARY!$B$3,'Weekly Update'!$I:$I,$A18,'Weekly Update'!$B:$B,SUMMARY!$E$5)</f>
        <v>0</v>
      </c>
      <c r="F18" s="24">
        <f>COUNTIFS('Weekly Update'!$A:$A,"&gt;="&amp;SUMMARY!$B$2,'Weekly Update'!$A:$A,"&lt;="&amp;SUMMARY!$B$3,'Weekly Update'!$I:$I,$A18,'Weekly Update'!$B:$B,SUMMARY!$F$5)</f>
        <v>0</v>
      </c>
      <c r="G18" s="24">
        <f>COUNTIFS('Weekly Update'!$A:$A,"&gt;="&amp;SUMMARY!$B$2,'Weekly Update'!$A:$A,"&lt;="&amp;SUMMARY!$B$3,'Weekly Update'!$I:$I,$A18,'Weekly Update'!$B:$B,SUMMARY!$G$5)</f>
        <v>0</v>
      </c>
      <c r="H18" s="24">
        <f>COUNTIFS('Weekly Update'!$A:$A,"&gt;="&amp;SUMMARY!$B$2,'Weekly Update'!$A:$A,"&lt;="&amp;SUMMARY!$B$3,'Weekly Update'!$I:$I,$A18,'Weekly Update'!$B:$B,SUMMARY!$H$5)</f>
        <v>0</v>
      </c>
    </row>
    <row r="19" spans="1:8" x14ac:dyDescent="0.45">
      <c r="A19" s="23" t="str">
        <f>'SYS LST'!C14</f>
        <v>PAYMENT RECEIVED</v>
      </c>
      <c r="B19" s="24">
        <f>COUNTIFS('Weekly Update'!$A:$A,"&gt;="&amp;SUMMARY!$B$2,'Weekly Update'!$A:$A,"&lt;="&amp;SUMMARY!$B$3,'Weekly Update'!$I:$I,A19)</f>
        <v>0</v>
      </c>
      <c r="C19" s="24">
        <f>COUNTIFS('Weekly Update'!$A:$A,"&gt;="&amp;SUMMARY!$B$2,'Weekly Update'!$A:$A,"&lt;="&amp;SUMMARY!$B$3,'Weekly Update'!$I:$I,$A19,'Weekly Update'!$B:$B,SUMMARY!$C$5)</f>
        <v>0</v>
      </c>
      <c r="D19" s="24">
        <f>COUNTIFS('Weekly Update'!$A:$A,"&gt;="&amp;SUMMARY!$B$2,'Weekly Update'!$A:$A,"&lt;="&amp;SUMMARY!$B$3,'Weekly Update'!$I:$I,$A19,'Weekly Update'!$B:$B,SUMMARY!$D$5)</f>
        <v>0</v>
      </c>
      <c r="E19" s="24">
        <f>COUNTIFS('Weekly Update'!$A:$A,"&gt;="&amp;SUMMARY!$B$2,'Weekly Update'!$A:$A,"&lt;="&amp;SUMMARY!$B$3,'Weekly Update'!$I:$I,$A19,'Weekly Update'!$B:$B,SUMMARY!$E$5)</f>
        <v>0</v>
      </c>
      <c r="F19" s="24">
        <f>COUNTIFS('Weekly Update'!$A:$A,"&gt;="&amp;SUMMARY!$B$2,'Weekly Update'!$A:$A,"&lt;="&amp;SUMMARY!$B$3,'Weekly Update'!$I:$I,$A19,'Weekly Update'!$B:$B,SUMMARY!$F$5)</f>
        <v>0</v>
      </c>
      <c r="G19" s="24">
        <f>COUNTIFS('Weekly Update'!$A:$A,"&gt;="&amp;SUMMARY!$B$2,'Weekly Update'!$A:$A,"&lt;="&amp;SUMMARY!$B$3,'Weekly Update'!$I:$I,$A19,'Weekly Update'!$B:$B,SUMMARY!$G$5)</f>
        <v>0</v>
      </c>
      <c r="H19" s="24">
        <f>COUNTIFS('Weekly Update'!$A:$A,"&gt;="&amp;SUMMARY!$B$2,'Weekly Update'!$A:$A,"&lt;="&amp;SUMMARY!$B$3,'Weekly Update'!$I:$I,$A19,'Weekly Update'!$B:$B,SUMMARY!$H$5)</f>
        <v>0</v>
      </c>
    </row>
    <row r="20" spans="1:8" x14ac:dyDescent="0.45">
      <c r="A20" s="23" t="str">
        <f>'SYS LST'!C15</f>
        <v>SUBCRIPTION STARTS</v>
      </c>
      <c r="B20" s="24">
        <f>COUNTIFS('Weekly Update'!$A:$A,"&gt;="&amp;SUMMARY!$B$2,'Weekly Update'!$A:$A,"&lt;="&amp;SUMMARY!$B$3,'Weekly Update'!$I:$I,A20)</f>
        <v>0</v>
      </c>
      <c r="C20" s="24">
        <f>COUNTIFS('Weekly Update'!$A:$A,"&gt;="&amp;SUMMARY!$B$2,'Weekly Update'!$A:$A,"&lt;="&amp;SUMMARY!$B$3,'Weekly Update'!$I:$I,$A20,'Weekly Update'!$B:$B,SUMMARY!$C$5)</f>
        <v>0</v>
      </c>
      <c r="D20" s="24">
        <f>COUNTIFS('Weekly Update'!$A:$A,"&gt;="&amp;SUMMARY!$B$2,'Weekly Update'!$A:$A,"&lt;="&amp;SUMMARY!$B$3,'Weekly Update'!$I:$I,$A20,'Weekly Update'!$B:$B,SUMMARY!$D$5)</f>
        <v>0</v>
      </c>
      <c r="E20" s="24">
        <f>COUNTIFS('Weekly Update'!$A:$A,"&gt;="&amp;SUMMARY!$B$2,'Weekly Update'!$A:$A,"&lt;="&amp;SUMMARY!$B$3,'Weekly Update'!$I:$I,$A20,'Weekly Update'!$B:$B,SUMMARY!$E$5)</f>
        <v>0</v>
      </c>
      <c r="F20" s="24">
        <f>COUNTIFS('Weekly Update'!$A:$A,"&gt;="&amp;SUMMARY!$B$2,'Weekly Update'!$A:$A,"&lt;="&amp;SUMMARY!$B$3,'Weekly Update'!$I:$I,$A20,'Weekly Update'!$B:$B,SUMMARY!$F$5)</f>
        <v>0</v>
      </c>
      <c r="G20" s="24">
        <f>COUNTIFS('Weekly Update'!$A:$A,"&gt;="&amp;SUMMARY!$B$2,'Weekly Update'!$A:$A,"&lt;="&amp;SUMMARY!$B$3,'Weekly Update'!$I:$I,$A20,'Weekly Update'!$B:$B,SUMMARY!$G$5)</f>
        <v>0</v>
      </c>
      <c r="H20" s="24">
        <f>COUNTIFS('Weekly Update'!$A:$A,"&gt;="&amp;SUMMARY!$B$2,'Weekly Update'!$A:$A,"&lt;="&amp;SUMMARY!$B$3,'Weekly Update'!$I:$I,$A20,'Weekly Update'!$B:$B,SUMMARY!$H$5)</f>
        <v>0</v>
      </c>
    </row>
  </sheetData>
  <sheetProtection algorithmName="SHA-512" hashValue="hVw/IjwkapwbQEDVUMjSCKApobcBgkQgBnoU92yPYeWMJE0znG43HTgJ6s9zOaGtDJ8Gvx8XlCt/qW9WToLrjQ==" saltValue="O1dWk8EGKkhNlabVfIr7Ig==" spinCount="100000" sheet="1" objects="1" scenarios="1"/>
  <mergeCells count="3">
    <mergeCell ref="B2:C2"/>
    <mergeCell ref="B3:C3"/>
    <mergeCell ref="J5:K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83A6732954245AFC7AEED51661D7C" ma:contentTypeVersion="18" ma:contentTypeDescription="Create a new document." ma:contentTypeScope="" ma:versionID="d4da4bb784c3c5e44db42dae6133b7f6">
  <xsd:schema xmlns:xsd="http://www.w3.org/2001/XMLSchema" xmlns:xs="http://www.w3.org/2001/XMLSchema" xmlns:p="http://schemas.microsoft.com/office/2006/metadata/properties" xmlns:ns2="e96138b2-d611-4b49-aea2-3da61ea09384" xmlns:ns3="f957eb38-b1df-443a-947d-08ef6db6c090" targetNamespace="http://schemas.microsoft.com/office/2006/metadata/properties" ma:root="true" ma:fieldsID="2b1a6a0bdb46344d92cf93eac556137d" ns2:_="" ns3:_="">
    <xsd:import namespace="e96138b2-d611-4b49-aea2-3da61ea09384"/>
    <xsd:import namespace="f957eb38-b1df-443a-947d-08ef6db6c09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6138b2-d611-4b49-aea2-3da61ea093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6970b94-d85f-428a-a7e5-67537dbe689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57eb38-b1df-443a-947d-08ef6db6c09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d9de6c1-b2df-4c3c-ae9e-ba89011aab5f}" ma:internalName="TaxCatchAll" ma:showField="CatchAllData" ma:web="f957eb38-b1df-443a-947d-08ef6db6c09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957eb38-b1df-443a-947d-08ef6db6c090" xsi:nil="true"/>
    <lcf76f155ced4ddcb4097134ff3c332f xmlns="e96138b2-d611-4b49-aea2-3da61ea0938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5711DB-BCD3-439B-87F7-DC8DE66A88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6138b2-d611-4b49-aea2-3da61ea09384"/>
    <ds:schemaRef ds:uri="f957eb38-b1df-443a-947d-08ef6db6c0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9408D14-7A3B-4D7F-BC4A-F362BAC4745D}">
  <ds:schemaRefs>
    <ds:schemaRef ds:uri="http://schemas.microsoft.com/office/2006/metadata/properties"/>
    <ds:schemaRef ds:uri="http://schemas.microsoft.com/office/infopath/2007/PartnerControls"/>
    <ds:schemaRef ds:uri="f957eb38-b1df-443a-947d-08ef6db6c090"/>
    <ds:schemaRef ds:uri="e96138b2-d611-4b49-aea2-3da61ea09384"/>
  </ds:schemaRefs>
</ds:datastoreItem>
</file>

<file path=customXml/itemProps3.xml><?xml version="1.0" encoding="utf-8"?>
<ds:datastoreItem xmlns:ds="http://schemas.openxmlformats.org/officeDocument/2006/customXml" ds:itemID="{07F808D1-4029-43B2-B37E-81A9F05C4B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Client DB</vt:lpstr>
      <vt:lpstr>Weekly Update</vt:lpstr>
      <vt:lpstr>SYS LST</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Ra</dc:creator>
  <cp:keywords/>
  <dc:description/>
  <cp:lastModifiedBy>Daniel Ra</cp:lastModifiedBy>
  <cp:revision/>
  <dcterms:created xsi:type="dcterms:W3CDTF">2026-03-09T05:13:15Z</dcterms:created>
  <dcterms:modified xsi:type="dcterms:W3CDTF">2026-07-22T08:13:47Z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0x010100F5083A6732954245AFC7AEED51661D7C</vt:lpwstr>
  </property>
  <property fmtid="{D5CDD505-2E9C-101B-9397-08002B2CF9AE}" pid="3" name="MediaServiceImageTags">
    <vt:lpwstr/>
  </property>
</Properties>
</file>